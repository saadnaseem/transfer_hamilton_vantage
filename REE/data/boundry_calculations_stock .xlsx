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aseem/Coding/BER/volume_transfers_01222026/claude/REE/data/"/>
    </mc:Choice>
  </mc:AlternateContent>
  <xr:revisionPtr revIDLastSave="0" documentId="8_{E36D2918-7316-9846-A760-9F6331D3FD46}" xr6:coauthVersionLast="47" xr6:coauthVersionMax="47" xr10:uidLastSave="{00000000-0000-0000-0000-000000000000}"/>
  <bookViews>
    <workbookView xWindow="-53220" yWindow="2820" windowWidth="27240" windowHeight="16440" activeTab="7" xr2:uid="{9E9720D6-0286-2241-A43E-CFD07F3051AC}"/>
  </bookViews>
  <sheets>
    <sheet name="target_concentrations" sheetId="1" r:id="rId1"/>
    <sheet name="Sheet1" sheetId="2" r:id="rId2"/>
    <sheet name="Sheet2" sheetId="3" r:id="rId3"/>
    <sheet name="Sheet3" sheetId="4" r:id="rId4"/>
    <sheet name="Sheet3 (2)" sheetId="5" r:id="rId5"/>
    <sheet name="succinate" sheetId="6" r:id="rId6"/>
    <sheet name="methanol" sheetId="8" r:id="rId7"/>
    <sheet name="PQQ" sheetId="11" r:id="rId8"/>
    <sheet name="Sheet6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1" l="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K57" i="11"/>
  <c r="J6" i="11"/>
  <c r="K6" i="11" s="1"/>
  <c r="J5" i="11"/>
  <c r="J7" i="8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2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J109" i="8" s="1"/>
  <c r="J110" i="8" s="1"/>
  <c r="J111" i="8" s="1"/>
  <c r="J112" i="8" s="1"/>
  <c r="J113" i="8" s="1"/>
  <c r="J114" i="8" s="1"/>
  <c r="J115" i="8" s="1"/>
  <c r="J116" i="8" s="1"/>
  <c r="J117" i="8" s="1"/>
  <c r="J118" i="8" s="1"/>
  <c r="J119" i="8" s="1"/>
  <c r="J120" i="8" s="1"/>
  <c r="J121" i="8" s="1"/>
  <c r="J122" i="8" s="1"/>
  <c r="J123" i="8" s="1"/>
  <c r="J124" i="8" s="1"/>
  <c r="J125" i="8" s="1"/>
  <c r="J126" i="8" s="1"/>
  <c r="J127" i="8" s="1"/>
  <c r="J128" i="8" s="1"/>
  <c r="J129" i="8" s="1"/>
  <c r="J130" i="8" s="1"/>
  <c r="J131" i="8" s="1"/>
  <c r="J132" i="8" s="1"/>
  <c r="J133" i="8" s="1"/>
  <c r="J134" i="8" s="1"/>
  <c r="J135" i="8" s="1"/>
  <c r="J136" i="8" s="1"/>
  <c r="J137" i="8" s="1"/>
  <c r="J138" i="8" s="1"/>
  <c r="J139" i="8" s="1"/>
  <c r="J140" i="8" s="1"/>
  <c r="J141" i="8" s="1"/>
  <c r="J142" i="8" s="1"/>
  <c r="J143" i="8" s="1"/>
  <c r="J144" i="8" s="1"/>
  <c r="J145" i="8" s="1"/>
  <c r="J146" i="8" s="1"/>
  <c r="J147" i="8" s="1"/>
  <c r="J148" i="8" s="1"/>
  <c r="J149" i="8" s="1"/>
  <c r="J150" i="8" s="1"/>
  <c r="J151" i="8" s="1"/>
  <c r="J152" i="8" s="1"/>
  <c r="J153" i="8" s="1"/>
  <c r="J154" i="8" s="1"/>
  <c r="J155" i="8" s="1"/>
  <c r="J156" i="8" s="1"/>
  <c r="J157" i="8" s="1"/>
  <c r="J158" i="8" s="1"/>
  <c r="J159" i="8" s="1"/>
  <c r="J160" i="8" s="1"/>
  <c r="J161" i="8" s="1"/>
  <c r="J162" i="8" s="1"/>
  <c r="J163" i="8" s="1"/>
  <c r="J164" i="8" s="1"/>
  <c r="J165" i="8" s="1"/>
  <c r="J166" i="8" s="1"/>
  <c r="J167" i="8" s="1"/>
  <c r="J168" i="8" s="1"/>
  <c r="J169" i="8" s="1"/>
  <c r="J170" i="8" s="1"/>
  <c r="J171" i="8" s="1"/>
  <c r="J172" i="8" s="1"/>
  <c r="J173" i="8" s="1"/>
  <c r="J174" i="8" s="1"/>
  <c r="J175" i="8" s="1"/>
  <c r="J176" i="8" s="1"/>
  <c r="J177" i="8" s="1"/>
  <c r="J178" i="8" s="1"/>
  <c r="J179" i="8" s="1"/>
  <c r="J180" i="8" s="1"/>
  <c r="J181" i="8" s="1"/>
  <c r="J182" i="8" s="1"/>
  <c r="J183" i="8" s="1"/>
  <c r="J184" i="8" s="1"/>
  <c r="J185" i="8" s="1"/>
  <c r="J186" i="8" s="1"/>
  <c r="J187" i="8" s="1"/>
  <c r="J188" i="8" s="1"/>
  <c r="J189" i="8" s="1"/>
  <c r="J190" i="8" s="1"/>
  <c r="J191" i="8" s="1"/>
  <c r="J192" i="8" s="1"/>
  <c r="J193" i="8" s="1"/>
  <c r="J194" i="8" s="1"/>
  <c r="J195" i="8" s="1"/>
  <c r="J196" i="8" s="1"/>
  <c r="J197" i="8" s="1"/>
  <c r="J198" i="8" s="1"/>
  <c r="J199" i="8" s="1"/>
  <c r="J200" i="8" s="1"/>
  <c r="J201" i="8" s="1"/>
  <c r="J202" i="8" s="1"/>
  <c r="J203" i="8" s="1"/>
  <c r="J204" i="8" s="1"/>
  <c r="J205" i="8" s="1"/>
  <c r="J206" i="8" s="1"/>
  <c r="J207" i="8" s="1"/>
  <c r="J208" i="8" s="1"/>
  <c r="J209" i="8" s="1"/>
  <c r="J210" i="8" s="1"/>
  <c r="J211" i="8" s="1"/>
  <c r="J212" i="8" s="1"/>
  <c r="J213" i="8" s="1"/>
  <c r="J214" i="8" s="1"/>
  <c r="J215" i="8" s="1"/>
  <c r="J216" i="8" s="1"/>
  <c r="J217" i="8" s="1"/>
  <c r="J218" i="8" s="1"/>
  <c r="J219" i="8" s="1"/>
  <c r="J220" i="8" s="1"/>
  <c r="J221" i="8" s="1"/>
  <c r="J222" i="8" s="1"/>
  <c r="J223" i="8" s="1"/>
  <c r="J224" i="8" s="1"/>
  <c r="J225" i="8" s="1"/>
  <c r="J226" i="8" s="1"/>
  <c r="J227" i="8" s="1"/>
  <c r="J228" i="8" s="1"/>
  <c r="J229" i="8" s="1"/>
  <c r="J230" i="8" s="1"/>
  <c r="J231" i="8" s="1"/>
  <c r="J232" i="8" s="1"/>
  <c r="J233" i="8" s="1"/>
  <c r="J234" i="8" s="1"/>
  <c r="J235" i="8" s="1"/>
  <c r="J236" i="8" s="1"/>
  <c r="J237" i="8" s="1"/>
  <c r="J238" i="8" s="1"/>
  <c r="J239" i="8" s="1"/>
  <c r="J240" i="8" s="1"/>
  <c r="J241" i="8" s="1"/>
  <c r="J242" i="8" s="1"/>
  <c r="J243" i="8" s="1"/>
  <c r="J244" i="8" s="1"/>
  <c r="J245" i="8" s="1"/>
  <c r="J246" i="8" s="1"/>
  <c r="J247" i="8" s="1"/>
  <c r="J248" i="8" s="1"/>
  <c r="J249" i="8" s="1"/>
  <c r="J6" i="8"/>
  <c r="J5" i="8"/>
  <c r="L5" i="8"/>
  <c r="K5" i="8"/>
  <c r="J6" i="6"/>
  <c r="K6" i="6" s="1"/>
  <c r="K5" i="6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6" i="5"/>
  <c r="K7" i="5"/>
  <c r="K8" i="5"/>
  <c r="K9" i="5"/>
  <c r="K10" i="5"/>
  <c r="K11" i="5"/>
  <c r="K12" i="5"/>
  <c r="K13" i="5"/>
  <c r="K14" i="5"/>
  <c r="K15" i="5"/>
  <c r="K16" i="5"/>
  <c r="J68" i="5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7" i="5"/>
  <c r="J18" i="5"/>
  <c r="J19" i="5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7" i="5"/>
  <c r="J5" i="5"/>
  <c r="L5" i="5" s="1"/>
  <c r="L6" i="4"/>
  <c r="L7" i="4"/>
  <c r="L8" i="4"/>
  <c r="L9" i="4"/>
  <c r="L10" i="4"/>
  <c r="L11" i="4"/>
  <c r="L12" i="4"/>
  <c r="L13" i="4"/>
  <c r="L14" i="4"/>
  <c r="L15" i="4"/>
  <c r="L16" i="4"/>
  <c r="L5" i="4"/>
  <c r="K6" i="4"/>
  <c r="K7" i="4"/>
  <c r="K8" i="4"/>
  <c r="K9" i="4"/>
  <c r="K10" i="4"/>
  <c r="K11" i="4"/>
  <c r="K12" i="4"/>
  <c r="K13" i="4"/>
  <c r="K14" i="4"/>
  <c r="K15" i="4"/>
  <c r="K16" i="4"/>
  <c r="K5" i="4"/>
  <c r="J15" i="4"/>
  <c r="J16" i="4" s="1"/>
  <c r="J7" i="4"/>
  <c r="J8" i="4" s="1"/>
  <c r="J9" i="4" s="1"/>
  <c r="J10" i="4" s="1"/>
  <c r="J11" i="4" s="1"/>
  <c r="J12" i="4" s="1"/>
  <c r="J13" i="4" s="1"/>
  <c r="J14" i="4" s="1"/>
  <c r="J6" i="4"/>
  <c r="H8" i="3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7" i="3"/>
  <c r="J8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6" i="3"/>
  <c r="J7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6" i="3"/>
  <c r="I7" i="3"/>
  <c r="H6" i="3"/>
  <c r="J5" i="3"/>
  <c r="I5" i="3"/>
  <c r="C13" i="3"/>
  <c r="C12" i="3"/>
  <c r="B7" i="2"/>
  <c r="G7" i="2"/>
  <c r="J7" i="11" l="1"/>
  <c r="L5" i="11"/>
  <c r="K6" i="8"/>
  <c r="L6" i="8"/>
  <c r="J7" i="6"/>
  <c r="J8" i="6" s="1"/>
  <c r="J9" i="6"/>
  <c r="K8" i="6"/>
  <c r="K7" i="6"/>
  <c r="L5" i="6"/>
  <c r="L6" i="6"/>
  <c r="K5" i="5"/>
  <c r="J6" i="5"/>
  <c r="J8" i="5" s="1"/>
  <c r="J9" i="5" s="1"/>
  <c r="J10" i="5" s="1"/>
  <c r="J11" i="5" s="1"/>
  <c r="J12" i="5" s="1"/>
  <c r="J13" i="5" s="1"/>
  <c r="J14" i="5" s="1"/>
  <c r="J15" i="5" s="1"/>
  <c r="J16" i="5" s="1"/>
  <c r="I8" i="3"/>
  <c r="I12" i="3"/>
  <c r="J14" i="3"/>
  <c r="I11" i="3"/>
  <c r="J13" i="3"/>
  <c r="I10" i="3"/>
  <c r="J12" i="3"/>
  <c r="I9" i="3"/>
  <c r="J11" i="3"/>
  <c r="J10" i="3"/>
  <c r="J9" i="3"/>
  <c r="I15" i="3"/>
  <c r="I14" i="3"/>
  <c r="I16" i="3"/>
  <c r="I13" i="3"/>
  <c r="J15" i="3"/>
  <c r="J8" i="11" l="1"/>
  <c r="K7" i="11"/>
  <c r="J58" i="11"/>
  <c r="L7" i="8"/>
  <c r="K7" i="8"/>
  <c r="J10" i="6"/>
  <c r="K9" i="6"/>
  <c r="L7" i="6"/>
  <c r="L6" i="5"/>
  <c r="J16" i="3"/>
  <c r="J59" i="11" l="1"/>
  <c r="K58" i="11"/>
  <c r="J9" i="11"/>
  <c r="K8" i="11"/>
  <c r="L8" i="8"/>
  <c r="K8" i="8"/>
  <c r="J11" i="6"/>
  <c r="K10" i="6"/>
  <c r="L8" i="6"/>
  <c r="L7" i="5"/>
  <c r="J17" i="3"/>
  <c r="I17" i="3"/>
  <c r="J10" i="11" l="1"/>
  <c r="K9" i="11"/>
  <c r="J60" i="11"/>
  <c r="K59" i="11"/>
  <c r="L9" i="8"/>
  <c r="K9" i="8"/>
  <c r="J12" i="6"/>
  <c r="K11" i="6"/>
  <c r="L9" i="6"/>
  <c r="L8" i="5"/>
  <c r="J18" i="3"/>
  <c r="I18" i="3"/>
  <c r="J61" i="11" l="1"/>
  <c r="K60" i="11"/>
  <c r="J11" i="11"/>
  <c r="K10" i="11"/>
  <c r="L10" i="8"/>
  <c r="K10" i="8"/>
  <c r="J13" i="6"/>
  <c r="K12" i="6"/>
  <c r="L10" i="6"/>
  <c r="L9" i="5"/>
  <c r="I19" i="3"/>
  <c r="J19" i="3"/>
  <c r="J12" i="11" l="1"/>
  <c r="K11" i="11"/>
  <c r="J62" i="11"/>
  <c r="K61" i="11"/>
  <c r="K11" i="8"/>
  <c r="L11" i="8"/>
  <c r="K13" i="6"/>
  <c r="J14" i="6"/>
  <c r="L11" i="6"/>
  <c r="L10" i="5"/>
  <c r="I20" i="3"/>
  <c r="J20" i="3"/>
  <c r="J63" i="11" l="1"/>
  <c r="K62" i="11"/>
  <c r="J13" i="11"/>
  <c r="K12" i="11"/>
  <c r="L12" i="8"/>
  <c r="K12" i="8"/>
  <c r="J15" i="6"/>
  <c r="K14" i="6"/>
  <c r="L12" i="6"/>
  <c r="L11" i="5"/>
  <c r="J21" i="3"/>
  <c r="I21" i="3"/>
  <c r="J14" i="11" l="1"/>
  <c r="K13" i="11"/>
  <c r="J64" i="11"/>
  <c r="K63" i="11"/>
  <c r="K13" i="8"/>
  <c r="L13" i="8"/>
  <c r="J16" i="6"/>
  <c r="K15" i="6"/>
  <c r="L13" i="6"/>
  <c r="L12" i="5"/>
  <c r="J22" i="3"/>
  <c r="I22" i="3"/>
  <c r="J15" i="11" l="1"/>
  <c r="K14" i="11"/>
  <c r="J65" i="11"/>
  <c r="K64" i="11"/>
  <c r="L14" i="8"/>
  <c r="K14" i="8"/>
  <c r="K16" i="6"/>
  <c r="J17" i="6"/>
  <c r="L14" i="6"/>
  <c r="L13" i="5"/>
  <c r="J23" i="3"/>
  <c r="I23" i="3"/>
  <c r="J16" i="11" l="1"/>
  <c r="K15" i="11"/>
  <c r="J66" i="11"/>
  <c r="K65" i="11"/>
  <c r="K15" i="8"/>
  <c r="L15" i="8"/>
  <c r="J18" i="6"/>
  <c r="K17" i="6"/>
  <c r="L15" i="6"/>
  <c r="L14" i="5"/>
  <c r="I24" i="3"/>
  <c r="J24" i="3"/>
  <c r="J67" i="11" l="1"/>
  <c r="K66" i="11"/>
  <c r="J17" i="11"/>
  <c r="K16" i="11"/>
  <c r="K16" i="8"/>
  <c r="L16" i="8"/>
  <c r="J19" i="6"/>
  <c r="K18" i="6"/>
  <c r="L16" i="6"/>
  <c r="L15" i="5"/>
  <c r="I25" i="3"/>
  <c r="J25" i="3"/>
  <c r="J18" i="11" l="1"/>
  <c r="K17" i="11"/>
  <c r="J68" i="11"/>
  <c r="K67" i="11"/>
  <c r="L17" i="8"/>
  <c r="K17" i="8"/>
  <c r="J20" i="6"/>
  <c r="K19" i="6"/>
  <c r="L17" i="6"/>
  <c r="L16" i="5"/>
  <c r="J26" i="3"/>
  <c r="I26" i="3"/>
  <c r="J69" i="11" l="1"/>
  <c r="K68" i="11"/>
  <c r="J19" i="11"/>
  <c r="K18" i="11"/>
  <c r="L18" i="8"/>
  <c r="K18" i="8"/>
  <c r="J21" i="6"/>
  <c r="K20" i="6"/>
  <c r="L18" i="6"/>
  <c r="I27" i="3"/>
  <c r="J27" i="3"/>
  <c r="J20" i="11" l="1"/>
  <c r="K19" i="11"/>
  <c r="J70" i="11"/>
  <c r="K69" i="11"/>
  <c r="L19" i="8"/>
  <c r="K19" i="8"/>
  <c r="J22" i="6"/>
  <c r="K21" i="6"/>
  <c r="L19" i="6"/>
  <c r="J28" i="3"/>
  <c r="I28" i="3"/>
  <c r="J71" i="11" l="1"/>
  <c r="K70" i="11"/>
  <c r="J21" i="11"/>
  <c r="K20" i="11"/>
  <c r="K20" i="8"/>
  <c r="L20" i="8"/>
  <c r="J23" i="6"/>
  <c r="K22" i="6"/>
  <c r="L20" i="6"/>
  <c r="I29" i="3"/>
  <c r="J29" i="3"/>
  <c r="J22" i="11" l="1"/>
  <c r="K21" i="11"/>
  <c r="J72" i="11"/>
  <c r="K71" i="11"/>
  <c r="L21" i="8"/>
  <c r="K21" i="8"/>
  <c r="J24" i="6"/>
  <c r="K23" i="6"/>
  <c r="L21" i="6"/>
  <c r="H34" i="3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I30" i="3"/>
  <c r="J30" i="3"/>
  <c r="J73" i="11" l="1"/>
  <c r="K72" i="11"/>
  <c r="J23" i="11"/>
  <c r="K22" i="11"/>
  <c r="K22" i="8"/>
  <c r="L22" i="8"/>
  <c r="K24" i="6"/>
  <c r="J25" i="6"/>
  <c r="L22" i="6"/>
  <c r="J24" i="11" l="1"/>
  <c r="K23" i="11"/>
  <c r="J74" i="11"/>
  <c r="K73" i="11"/>
  <c r="L23" i="8"/>
  <c r="K23" i="8"/>
  <c r="K25" i="6"/>
  <c r="J26" i="6"/>
  <c r="L23" i="6"/>
  <c r="J75" i="11" l="1"/>
  <c r="K74" i="11"/>
  <c r="J25" i="11"/>
  <c r="K24" i="11"/>
  <c r="K24" i="8"/>
  <c r="L24" i="8"/>
  <c r="J27" i="6"/>
  <c r="K26" i="6"/>
  <c r="L24" i="6"/>
  <c r="J26" i="11" l="1"/>
  <c r="K25" i="11"/>
  <c r="J76" i="11"/>
  <c r="K75" i="11"/>
  <c r="L25" i="8"/>
  <c r="K25" i="8"/>
  <c r="J28" i="6"/>
  <c r="K27" i="6"/>
  <c r="L25" i="6"/>
  <c r="J77" i="11" l="1"/>
  <c r="K76" i="11"/>
  <c r="J27" i="11"/>
  <c r="K26" i="11"/>
  <c r="K26" i="8"/>
  <c r="L26" i="8"/>
  <c r="K28" i="6"/>
  <c r="J29" i="6"/>
  <c r="L26" i="6"/>
  <c r="J28" i="11" l="1"/>
  <c r="K27" i="11"/>
  <c r="J78" i="11"/>
  <c r="K77" i="11"/>
  <c r="L27" i="8"/>
  <c r="K27" i="8"/>
  <c r="J30" i="6"/>
  <c r="K29" i="6"/>
  <c r="L27" i="6"/>
  <c r="J79" i="11" l="1"/>
  <c r="K78" i="11"/>
  <c r="J29" i="11"/>
  <c r="K28" i="11"/>
  <c r="L28" i="8"/>
  <c r="K28" i="8"/>
  <c r="J31" i="6"/>
  <c r="K30" i="6"/>
  <c r="L28" i="6"/>
  <c r="J30" i="11" l="1"/>
  <c r="K29" i="11"/>
  <c r="J80" i="11"/>
  <c r="K79" i="11"/>
  <c r="L29" i="8"/>
  <c r="K29" i="8"/>
  <c r="J32" i="6"/>
  <c r="K31" i="6"/>
  <c r="L29" i="6"/>
  <c r="J81" i="11" l="1"/>
  <c r="K80" i="11"/>
  <c r="J31" i="11"/>
  <c r="K30" i="11"/>
  <c r="L30" i="8"/>
  <c r="K30" i="8"/>
  <c r="J33" i="6"/>
  <c r="K32" i="6"/>
  <c r="L30" i="6"/>
  <c r="J32" i="11" l="1"/>
  <c r="K31" i="11"/>
  <c r="J82" i="11"/>
  <c r="K81" i="11"/>
  <c r="K31" i="8"/>
  <c r="L31" i="8"/>
  <c r="J34" i="6"/>
  <c r="K33" i="6"/>
  <c r="L31" i="6"/>
  <c r="J83" i="11" l="1"/>
  <c r="K82" i="11"/>
  <c r="J33" i="11"/>
  <c r="K32" i="11"/>
  <c r="L32" i="8"/>
  <c r="K32" i="8"/>
  <c r="K34" i="6"/>
  <c r="J35" i="6"/>
  <c r="L32" i="6"/>
  <c r="J34" i="11" l="1"/>
  <c r="K33" i="11"/>
  <c r="J84" i="11"/>
  <c r="K83" i="11"/>
  <c r="L33" i="8"/>
  <c r="K33" i="8"/>
  <c r="K35" i="6"/>
  <c r="J36" i="6"/>
  <c r="L33" i="6"/>
  <c r="J85" i="11" l="1"/>
  <c r="K84" i="11"/>
  <c r="J35" i="11"/>
  <c r="K34" i="11"/>
  <c r="L34" i="8"/>
  <c r="K34" i="8"/>
  <c r="K36" i="6"/>
  <c r="J37" i="6"/>
  <c r="L34" i="6"/>
  <c r="J36" i="11" l="1"/>
  <c r="K35" i="11"/>
  <c r="J86" i="11"/>
  <c r="K85" i="11"/>
  <c r="K35" i="8"/>
  <c r="L35" i="8"/>
  <c r="K37" i="6"/>
  <c r="J38" i="6"/>
  <c r="L35" i="6"/>
  <c r="J87" i="11" l="1"/>
  <c r="K86" i="11"/>
  <c r="J37" i="11"/>
  <c r="K36" i="11"/>
  <c r="K36" i="8"/>
  <c r="L36" i="8"/>
  <c r="J39" i="6"/>
  <c r="K38" i="6"/>
  <c r="L36" i="6"/>
  <c r="J38" i="11" l="1"/>
  <c r="K37" i="11"/>
  <c r="J88" i="11"/>
  <c r="K87" i="11"/>
  <c r="L37" i="8"/>
  <c r="K37" i="8"/>
  <c r="K39" i="6"/>
  <c r="J40" i="6"/>
  <c r="L37" i="6"/>
  <c r="J89" i="11" l="1"/>
  <c r="K88" i="11"/>
  <c r="J39" i="11"/>
  <c r="K38" i="11"/>
  <c r="L38" i="8"/>
  <c r="K38" i="8"/>
  <c r="J41" i="6"/>
  <c r="K40" i="6"/>
  <c r="L38" i="6"/>
  <c r="J40" i="11" l="1"/>
  <c r="K39" i="11"/>
  <c r="J90" i="11"/>
  <c r="K89" i="11"/>
  <c r="L39" i="8"/>
  <c r="K39" i="8"/>
  <c r="J42" i="6"/>
  <c r="K41" i="6"/>
  <c r="L39" i="6"/>
  <c r="J91" i="11" l="1"/>
  <c r="K90" i="11"/>
  <c r="J41" i="11"/>
  <c r="K40" i="11"/>
  <c r="L40" i="8"/>
  <c r="K40" i="8"/>
  <c r="J43" i="6"/>
  <c r="K42" i="6"/>
  <c r="L40" i="6"/>
  <c r="J42" i="11" l="1"/>
  <c r="K41" i="11"/>
  <c r="J92" i="11"/>
  <c r="K91" i="11"/>
  <c r="L41" i="8"/>
  <c r="K41" i="8"/>
  <c r="J44" i="6"/>
  <c r="K43" i="6"/>
  <c r="L41" i="6"/>
  <c r="J93" i="11" l="1"/>
  <c r="K92" i="11"/>
  <c r="J43" i="11"/>
  <c r="K42" i="11"/>
  <c r="L42" i="8"/>
  <c r="K42" i="8"/>
  <c r="J45" i="6"/>
  <c r="K44" i="6"/>
  <c r="L42" i="6"/>
  <c r="J44" i="11" l="1"/>
  <c r="K43" i="11"/>
  <c r="J94" i="11"/>
  <c r="K93" i="11"/>
  <c r="K43" i="8"/>
  <c r="L43" i="8"/>
  <c r="K45" i="6"/>
  <c r="J46" i="6"/>
  <c r="L43" i="6"/>
  <c r="J95" i="11" l="1"/>
  <c r="K94" i="11"/>
  <c r="J45" i="11"/>
  <c r="K44" i="11"/>
  <c r="L44" i="8"/>
  <c r="K44" i="8"/>
  <c r="J47" i="6"/>
  <c r="K46" i="6"/>
  <c r="L44" i="6"/>
  <c r="J46" i="11" l="1"/>
  <c r="K45" i="11"/>
  <c r="J96" i="11"/>
  <c r="K95" i="11"/>
  <c r="K45" i="8"/>
  <c r="L45" i="8"/>
  <c r="K47" i="6"/>
  <c r="J48" i="6"/>
  <c r="L45" i="6"/>
  <c r="J97" i="11" l="1"/>
  <c r="K96" i="11"/>
  <c r="J47" i="11"/>
  <c r="K46" i="11"/>
  <c r="K46" i="8"/>
  <c r="L46" i="8"/>
  <c r="K48" i="6"/>
  <c r="J49" i="6"/>
  <c r="L46" i="6"/>
  <c r="J48" i="11" l="1"/>
  <c r="K47" i="11"/>
  <c r="J98" i="11"/>
  <c r="K97" i="11"/>
  <c r="K47" i="8"/>
  <c r="L47" i="8"/>
  <c r="J50" i="6"/>
  <c r="K49" i="6"/>
  <c r="L47" i="6"/>
  <c r="J99" i="11" l="1"/>
  <c r="K98" i="11"/>
  <c r="J49" i="11"/>
  <c r="K48" i="11"/>
  <c r="L48" i="8"/>
  <c r="K48" i="8"/>
  <c r="J51" i="6"/>
  <c r="K50" i="6"/>
  <c r="L48" i="6"/>
  <c r="J50" i="11" l="1"/>
  <c r="K49" i="11"/>
  <c r="J100" i="11"/>
  <c r="K99" i="11"/>
  <c r="L49" i="8"/>
  <c r="K49" i="8"/>
  <c r="K51" i="6"/>
  <c r="J52" i="6"/>
  <c r="L49" i="6"/>
  <c r="J101" i="11" l="1"/>
  <c r="K100" i="11"/>
  <c r="J51" i="11"/>
  <c r="K50" i="11"/>
  <c r="K50" i="8"/>
  <c r="L50" i="8"/>
  <c r="J53" i="6"/>
  <c r="K52" i="6"/>
  <c r="L50" i="6"/>
  <c r="J52" i="11" l="1"/>
  <c r="K51" i="11"/>
  <c r="J102" i="11"/>
  <c r="K101" i="11"/>
  <c r="L51" i="8"/>
  <c r="K51" i="8"/>
  <c r="K53" i="6"/>
  <c r="J54" i="6"/>
  <c r="L51" i="6"/>
  <c r="J103" i="11" l="1"/>
  <c r="K102" i="11"/>
  <c r="J53" i="11"/>
  <c r="K52" i="11"/>
  <c r="L52" i="8"/>
  <c r="K52" i="8"/>
  <c r="J55" i="6"/>
  <c r="K54" i="6"/>
  <c r="L52" i="6"/>
  <c r="J54" i="11" l="1"/>
  <c r="K53" i="11"/>
  <c r="J104" i="11"/>
  <c r="K103" i="11"/>
  <c r="K53" i="8"/>
  <c r="L53" i="8"/>
  <c r="J56" i="6"/>
  <c r="K55" i="6"/>
  <c r="L53" i="6"/>
  <c r="J105" i="11" l="1"/>
  <c r="K104" i="11"/>
  <c r="J55" i="11"/>
  <c r="K54" i="11"/>
  <c r="L54" i="8"/>
  <c r="K54" i="8"/>
  <c r="J57" i="6"/>
  <c r="K56" i="6"/>
  <c r="L54" i="6"/>
  <c r="J56" i="11" l="1"/>
  <c r="K55" i="11"/>
  <c r="J106" i="11"/>
  <c r="K105" i="11"/>
  <c r="J58" i="6"/>
  <c r="K57" i="6"/>
  <c r="L55" i="6"/>
  <c r="J107" i="11" l="1"/>
  <c r="K106" i="11"/>
  <c r="K56" i="11"/>
  <c r="K56" i="8"/>
  <c r="L56" i="8"/>
  <c r="K58" i="6"/>
  <c r="J59" i="6"/>
  <c r="L56" i="6"/>
  <c r="J108" i="11" l="1"/>
  <c r="K107" i="11"/>
  <c r="K57" i="8"/>
  <c r="L57" i="8"/>
  <c r="K59" i="6"/>
  <c r="J60" i="6"/>
  <c r="L57" i="6"/>
  <c r="J109" i="11" l="1"/>
  <c r="K108" i="11"/>
  <c r="L58" i="8"/>
  <c r="K58" i="8"/>
  <c r="J61" i="6"/>
  <c r="K60" i="6"/>
  <c r="L58" i="6"/>
  <c r="J110" i="11" l="1"/>
  <c r="K109" i="11"/>
  <c r="L59" i="8"/>
  <c r="K59" i="8"/>
  <c r="K61" i="6"/>
  <c r="J62" i="6"/>
  <c r="L59" i="6"/>
  <c r="J111" i="11" l="1"/>
  <c r="K110" i="11"/>
  <c r="K60" i="8"/>
  <c r="L60" i="8"/>
  <c r="K62" i="6"/>
  <c r="J63" i="6"/>
  <c r="L60" i="6"/>
  <c r="J112" i="11" l="1"/>
  <c r="K111" i="11"/>
  <c r="K61" i="8"/>
  <c r="L61" i="8"/>
  <c r="J64" i="6"/>
  <c r="K63" i="6"/>
  <c r="L61" i="6"/>
  <c r="J113" i="11" l="1"/>
  <c r="K112" i="11"/>
  <c r="L62" i="8"/>
  <c r="K62" i="8"/>
  <c r="J65" i="6"/>
  <c r="K64" i="6"/>
  <c r="L62" i="6"/>
  <c r="J114" i="11" l="1"/>
  <c r="K113" i="11"/>
  <c r="L63" i="8"/>
  <c r="K63" i="8"/>
  <c r="K65" i="6"/>
  <c r="J66" i="6"/>
  <c r="L63" i="6"/>
  <c r="J115" i="11" l="1"/>
  <c r="K114" i="11"/>
  <c r="L64" i="8"/>
  <c r="K64" i="8"/>
  <c r="J67" i="6"/>
  <c r="K66" i="6"/>
  <c r="L64" i="6"/>
  <c r="J116" i="11" l="1"/>
  <c r="K115" i="11"/>
  <c r="L65" i="8"/>
  <c r="K65" i="8"/>
  <c r="K67" i="6"/>
  <c r="J68" i="6"/>
  <c r="L65" i="6"/>
  <c r="J117" i="11" l="1"/>
  <c r="K116" i="11"/>
  <c r="K66" i="8"/>
  <c r="L66" i="8"/>
  <c r="J69" i="6"/>
  <c r="K68" i="6"/>
  <c r="L66" i="6"/>
  <c r="J118" i="11" l="1"/>
  <c r="K117" i="11"/>
  <c r="K67" i="8"/>
  <c r="L67" i="8"/>
  <c r="J70" i="6"/>
  <c r="K69" i="6"/>
  <c r="L67" i="6"/>
  <c r="J119" i="11" l="1"/>
  <c r="K118" i="11"/>
  <c r="L68" i="8"/>
  <c r="K68" i="8"/>
  <c r="K70" i="6"/>
  <c r="J71" i="6"/>
  <c r="L68" i="6"/>
  <c r="J120" i="11" l="1"/>
  <c r="K119" i="11"/>
  <c r="L69" i="8"/>
  <c r="K69" i="8"/>
  <c r="K71" i="6"/>
  <c r="J72" i="6"/>
  <c r="L69" i="6"/>
  <c r="J121" i="11" l="1"/>
  <c r="K120" i="11"/>
  <c r="L70" i="8"/>
  <c r="K70" i="8"/>
  <c r="J73" i="6"/>
  <c r="K72" i="6"/>
  <c r="L70" i="6"/>
  <c r="J122" i="11" l="1"/>
  <c r="K121" i="11"/>
  <c r="K71" i="8"/>
  <c r="L71" i="8"/>
  <c r="J74" i="6"/>
  <c r="K73" i="6"/>
  <c r="L71" i="6"/>
  <c r="J123" i="11" l="1"/>
  <c r="K122" i="11"/>
  <c r="L72" i="8"/>
  <c r="K72" i="8"/>
  <c r="J75" i="6"/>
  <c r="K74" i="6"/>
  <c r="L72" i="6"/>
  <c r="J124" i="11" l="1"/>
  <c r="K123" i="11"/>
  <c r="L73" i="8"/>
  <c r="K73" i="8"/>
  <c r="K75" i="6"/>
  <c r="J76" i="6"/>
  <c r="L73" i="6"/>
  <c r="J125" i="11" l="1"/>
  <c r="K124" i="11"/>
  <c r="K74" i="8"/>
  <c r="L74" i="8"/>
  <c r="J77" i="6"/>
  <c r="K76" i="6"/>
  <c r="L74" i="6"/>
  <c r="J126" i="11" l="1"/>
  <c r="K125" i="11"/>
  <c r="L75" i="8"/>
  <c r="K75" i="8"/>
  <c r="J78" i="6"/>
  <c r="K77" i="6"/>
  <c r="L75" i="6"/>
  <c r="J127" i="11" l="1"/>
  <c r="K126" i="11"/>
  <c r="K76" i="8"/>
  <c r="L76" i="8"/>
  <c r="J79" i="6"/>
  <c r="K78" i="6"/>
  <c r="L76" i="6"/>
  <c r="J128" i="11" l="1"/>
  <c r="K127" i="11"/>
  <c r="K77" i="8"/>
  <c r="L77" i="8"/>
  <c r="J80" i="6"/>
  <c r="K79" i="6"/>
  <c r="L77" i="6"/>
  <c r="J129" i="11" l="1"/>
  <c r="K128" i="11"/>
  <c r="L78" i="8"/>
  <c r="K78" i="8"/>
  <c r="J81" i="6"/>
  <c r="K80" i="6"/>
  <c r="L78" i="6"/>
  <c r="J130" i="11" l="1"/>
  <c r="K129" i="11"/>
  <c r="L79" i="8"/>
  <c r="K79" i="8"/>
  <c r="K81" i="6"/>
  <c r="J82" i="6"/>
  <c r="L79" i="6"/>
  <c r="J131" i="11" l="1"/>
  <c r="K130" i="11"/>
  <c r="L80" i="8"/>
  <c r="K80" i="8"/>
  <c r="J83" i="6"/>
  <c r="K82" i="6"/>
  <c r="L80" i="6"/>
  <c r="J132" i="11" l="1"/>
  <c r="K131" i="11"/>
  <c r="L81" i="8"/>
  <c r="K81" i="8"/>
  <c r="J84" i="6"/>
  <c r="K83" i="6"/>
  <c r="L81" i="6"/>
  <c r="J133" i="11" l="1"/>
  <c r="K132" i="11"/>
  <c r="L82" i="8"/>
  <c r="K82" i="8"/>
  <c r="J85" i="6"/>
  <c r="K84" i="6"/>
  <c r="L82" i="6"/>
  <c r="J134" i="11" l="1"/>
  <c r="K133" i="11"/>
  <c r="K83" i="8"/>
  <c r="L83" i="8"/>
  <c r="K85" i="6"/>
  <c r="J86" i="6"/>
  <c r="L83" i="6"/>
  <c r="J135" i="11" l="1"/>
  <c r="K134" i="11"/>
  <c r="L84" i="8"/>
  <c r="K84" i="8"/>
  <c r="K86" i="6"/>
  <c r="J87" i="6"/>
  <c r="L84" i="6"/>
  <c r="J136" i="11" l="1"/>
  <c r="K135" i="11"/>
  <c r="L85" i="8"/>
  <c r="K85" i="8"/>
  <c r="J88" i="6"/>
  <c r="K87" i="6"/>
  <c r="L85" i="6"/>
  <c r="J137" i="11" l="1"/>
  <c r="K136" i="11"/>
  <c r="K86" i="8"/>
  <c r="L86" i="8"/>
  <c r="K88" i="6"/>
  <c r="J89" i="6"/>
  <c r="L86" i="6"/>
  <c r="J138" i="11" l="1"/>
  <c r="K137" i="11"/>
  <c r="L87" i="8"/>
  <c r="K87" i="8"/>
  <c r="J90" i="6"/>
  <c r="K89" i="6"/>
  <c r="L87" i="6"/>
  <c r="J139" i="11" l="1"/>
  <c r="K138" i="11"/>
  <c r="L88" i="8"/>
  <c r="K88" i="8"/>
  <c r="J91" i="6"/>
  <c r="K90" i="6"/>
  <c r="L88" i="6"/>
  <c r="J140" i="11" l="1"/>
  <c r="K139" i="11"/>
  <c r="L89" i="8"/>
  <c r="K89" i="8"/>
  <c r="K91" i="6"/>
  <c r="J92" i="6"/>
  <c r="L89" i="6"/>
  <c r="J141" i="11" l="1"/>
  <c r="K140" i="11"/>
  <c r="L90" i="8"/>
  <c r="K90" i="8"/>
  <c r="J93" i="6"/>
  <c r="K92" i="6"/>
  <c r="L90" i="6"/>
  <c r="J142" i="11" l="1"/>
  <c r="K141" i="11"/>
  <c r="K91" i="8"/>
  <c r="L91" i="8"/>
  <c r="J94" i="6"/>
  <c r="K93" i="6"/>
  <c r="L91" i="6"/>
  <c r="J143" i="11" l="1"/>
  <c r="K142" i="11"/>
  <c r="L92" i="8"/>
  <c r="K92" i="8"/>
  <c r="J95" i="6"/>
  <c r="K94" i="6"/>
  <c r="L92" i="6"/>
  <c r="J144" i="11" l="1"/>
  <c r="K143" i="11"/>
  <c r="L93" i="8"/>
  <c r="K93" i="8"/>
  <c r="K95" i="6"/>
  <c r="J96" i="6"/>
  <c r="L93" i="6"/>
  <c r="J145" i="11" l="1"/>
  <c r="K144" i="11"/>
  <c r="L94" i="8"/>
  <c r="K94" i="8"/>
  <c r="J97" i="6"/>
  <c r="K96" i="6"/>
  <c r="L94" i="6"/>
  <c r="J146" i="11" l="1"/>
  <c r="K145" i="11"/>
  <c r="L95" i="8"/>
  <c r="K95" i="8"/>
  <c r="J98" i="6"/>
  <c r="K97" i="6"/>
  <c r="L95" i="6"/>
  <c r="J147" i="11" l="1"/>
  <c r="K146" i="11"/>
  <c r="K96" i="8"/>
  <c r="L96" i="8"/>
  <c r="K98" i="6"/>
  <c r="J99" i="6"/>
  <c r="L96" i="6"/>
  <c r="J148" i="11" l="1"/>
  <c r="K147" i="11"/>
  <c r="L97" i="8"/>
  <c r="K97" i="8"/>
  <c r="K99" i="6"/>
  <c r="J100" i="6"/>
  <c r="L97" i="6"/>
  <c r="J149" i="11" l="1"/>
  <c r="K148" i="11"/>
  <c r="L98" i="8"/>
  <c r="K98" i="8"/>
  <c r="J101" i="6"/>
  <c r="K100" i="6"/>
  <c r="L98" i="6"/>
  <c r="J150" i="11" l="1"/>
  <c r="K149" i="11"/>
  <c r="L99" i="8"/>
  <c r="K99" i="8"/>
  <c r="J102" i="6"/>
  <c r="K101" i="6"/>
  <c r="L99" i="6"/>
  <c r="J151" i="11" l="1"/>
  <c r="K150" i="11"/>
  <c r="L100" i="8"/>
  <c r="K100" i="8"/>
  <c r="J103" i="6"/>
  <c r="K102" i="6"/>
  <c r="L100" i="6"/>
  <c r="J152" i="11" l="1"/>
  <c r="K151" i="11"/>
  <c r="L101" i="8"/>
  <c r="K101" i="8"/>
  <c r="J104" i="6"/>
  <c r="K103" i="6"/>
  <c r="L101" i="6"/>
  <c r="J153" i="11" l="1"/>
  <c r="K152" i="11"/>
  <c r="L102" i="8"/>
  <c r="K102" i="8"/>
  <c r="J105" i="6"/>
  <c r="K104" i="6"/>
  <c r="L102" i="6"/>
  <c r="J154" i="11" l="1"/>
  <c r="K153" i="11"/>
  <c r="L103" i="8"/>
  <c r="K103" i="8"/>
  <c r="K105" i="6"/>
  <c r="J106" i="6"/>
  <c r="L103" i="6"/>
  <c r="J155" i="11" l="1"/>
  <c r="K154" i="11"/>
  <c r="K104" i="8"/>
  <c r="L104" i="8"/>
  <c r="J107" i="6"/>
  <c r="K106" i="6"/>
  <c r="L104" i="6"/>
  <c r="J156" i="11" l="1"/>
  <c r="K155" i="11"/>
  <c r="L105" i="8"/>
  <c r="K105" i="8"/>
  <c r="K107" i="6"/>
  <c r="J108" i="6"/>
  <c r="L105" i="6"/>
  <c r="J157" i="11" l="1"/>
  <c r="K156" i="11"/>
  <c r="K106" i="8"/>
  <c r="L106" i="8"/>
  <c r="J109" i="6"/>
  <c r="K108" i="6"/>
  <c r="L106" i="6"/>
  <c r="J158" i="11" l="1"/>
  <c r="K157" i="11"/>
  <c r="L107" i="8"/>
  <c r="K107" i="8"/>
  <c r="K109" i="6"/>
  <c r="J110" i="6"/>
  <c r="L107" i="6"/>
  <c r="J159" i="11" l="1"/>
  <c r="K158" i="11"/>
  <c r="L108" i="8"/>
  <c r="K108" i="8"/>
  <c r="K110" i="6"/>
  <c r="J111" i="6"/>
  <c r="L108" i="6"/>
  <c r="J160" i="11" l="1"/>
  <c r="K159" i="11"/>
  <c r="L109" i="8"/>
  <c r="K109" i="8"/>
  <c r="J112" i="6"/>
  <c r="K111" i="6"/>
  <c r="L109" i="6"/>
  <c r="J161" i="11" l="1"/>
  <c r="K160" i="11"/>
  <c r="K110" i="8"/>
  <c r="L110" i="8"/>
  <c r="K112" i="6"/>
  <c r="J113" i="6"/>
  <c r="L110" i="6"/>
  <c r="J162" i="11" l="1"/>
  <c r="K161" i="11"/>
  <c r="L111" i="8"/>
  <c r="K111" i="8"/>
  <c r="J114" i="6"/>
  <c r="K113" i="6"/>
  <c r="L111" i="6"/>
  <c r="J163" i="11" l="1"/>
  <c r="K162" i="11"/>
  <c r="L112" i="8"/>
  <c r="K112" i="8"/>
  <c r="K114" i="6"/>
  <c r="J115" i="6"/>
  <c r="L112" i="6"/>
  <c r="J164" i="11" l="1"/>
  <c r="K163" i="11"/>
  <c r="L113" i="8"/>
  <c r="K113" i="8"/>
  <c r="J116" i="6"/>
  <c r="K115" i="6"/>
  <c r="L113" i="6"/>
  <c r="J165" i="11" l="1"/>
  <c r="K164" i="11"/>
  <c r="L114" i="8"/>
  <c r="K114" i="8"/>
  <c r="K116" i="6"/>
  <c r="J117" i="6"/>
  <c r="L114" i="6"/>
  <c r="J166" i="11" l="1"/>
  <c r="K165" i="11"/>
  <c r="L115" i="8"/>
  <c r="K115" i="8"/>
  <c r="K117" i="6"/>
  <c r="L117" i="6"/>
  <c r="J118" i="6"/>
  <c r="L115" i="6"/>
  <c r="J167" i="11" l="1"/>
  <c r="K166" i="11"/>
  <c r="K116" i="8"/>
  <c r="L116" i="8"/>
  <c r="K118" i="6"/>
  <c r="J119" i="6"/>
  <c r="L118" i="6"/>
  <c r="L116" i="6"/>
  <c r="J168" i="11" l="1"/>
  <c r="K167" i="11"/>
  <c r="L117" i="8"/>
  <c r="K117" i="8"/>
  <c r="J120" i="6"/>
  <c r="K119" i="6"/>
  <c r="L119" i="6"/>
  <c r="J169" i="11" l="1"/>
  <c r="K168" i="11"/>
  <c r="L118" i="8"/>
  <c r="K118" i="8"/>
  <c r="J121" i="6"/>
  <c r="K120" i="6"/>
  <c r="L120" i="6"/>
  <c r="J170" i="11" l="1"/>
  <c r="K169" i="11"/>
  <c r="L119" i="8"/>
  <c r="K119" i="8"/>
  <c r="J122" i="6"/>
  <c r="K121" i="6"/>
  <c r="L121" i="6"/>
  <c r="J171" i="11" l="1"/>
  <c r="K170" i="11"/>
  <c r="L120" i="8"/>
  <c r="K120" i="8"/>
  <c r="J123" i="6"/>
  <c r="K122" i="6"/>
  <c r="L122" i="6"/>
  <c r="J172" i="11" l="1"/>
  <c r="K171" i="11"/>
  <c r="K121" i="8"/>
  <c r="L121" i="8"/>
  <c r="J124" i="6"/>
  <c r="K123" i="6"/>
  <c r="L123" i="6"/>
  <c r="J173" i="11" l="1"/>
  <c r="K172" i="11"/>
  <c r="L122" i="8"/>
  <c r="K122" i="8"/>
  <c r="J125" i="6"/>
  <c r="K124" i="6"/>
  <c r="L124" i="6"/>
  <c r="J174" i="11" l="1"/>
  <c r="K173" i="11"/>
  <c r="L123" i="8"/>
  <c r="K123" i="8"/>
  <c r="K125" i="6"/>
  <c r="J126" i="6"/>
  <c r="L125" i="6"/>
  <c r="J175" i="11" l="1"/>
  <c r="K174" i="11"/>
  <c r="K124" i="8"/>
  <c r="L124" i="8"/>
  <c r="J127" i="6"/>
  <c r="K126" i="6"/>
  <c r="L126" i="6"/>
  <c r="J176" i="11" l="1"/>
  <c r="K175" i="11"/>
  <c r="L125" i="8"/>
  <c r="K125" i="8"/>
  <c r="J128" i="6"/>
  <c r="K127" i="6"/>
  <c r="L127" i="6"/>
  <c r="J177" i="11" l="1"/>
  <c r="K176" i="11"/>
  <c r="K126" i="8"/>
  <c r="L126" i="8"/>
  <c r="K128" i="6"/>
  <c r="J129" i="6"/>
  <c r="L128" i="6"/>
  <c r="J178" i="11" l="1"/>
  <c r="K177" i="11"/>
  <c r="K127" i="8"/>
  <c r="L127" i="8"/>
  <c r="J130" i="6"/>
  <c r="K129" i="6"/>
  <c r="L129" i="6"/>
  <c r="J179" i="11" l="1"/>
  <c r="K178" i="11"/>
  <c r="L128" i="8"/>
  <c r="K128" i="8"/>
  <c r="J131" i="6"/>
  <c r="K130" i="6"/>
  <c r="L130" i="6"/>
  <c r="J180" i="11" l="1"/>
  <c r="K179" i="11"/>
  <c r="L129" i="8"/>
  <c r="K129" i="8"/>
  <c r="K131" i="6"/>
  <c r="L131" i="6"/>
  <c r="J132" i="6"/>
  <c r="J181" i="11" l="1"/>
  <c r="K180" i="11"/>
  <c r="L130" i="8"/>
  <c r="K130" i="8"/>
  <c r="J133" i="6"/>
  <c r="K132" i="6"/>
  <c r="L132" i="6"/>
  <c r="J182" i="11" l="1"/>
  <c r="K181" i="11"/>
  <c r="L131" i="8"/>
  <c r="K131" i="8"/>
  <c r="J134" i="6"/>
  <c r="K133" i="6"/>
  <c r="L133" i="6"/>
  <c r="J183" i="11" l="1"/>
  <c r="K182" i="11"/>
  <c r="L132" i="8"/>
  <c r="K132" i="8"/>
  <c r="K134" i="6"/>
  <c r="J135" i="6"/>
  <c r="L134" i="6"/>
  <c r="J184" i="11" l="1"/>
  <c r="K183" i="11"/>
  <c r="K133" i="8"/>
  <c r="L133" i="8"/>
  <c r="K135" i="6"/>
  <c r="L135" i="6"/>
  <c r="J136" i="6"/>
  <c r="J185" i="11" l="1"/>
  <c r="K184" i="11"/>
  <c r="L134" i="8"/>
  <c r="K134" i="8"/>
  <c r="J137" i="6"/>
  <c r="K136" i="6"/>
  <c r="L136" i="6"/>
  <c r="J186" i="11" l="1"/>
  <c r="K185" i="11"/>
  <c r="L135" i="8"/>
  <c r="K135" i="8"/>
  <c r="J138" i="6"/>
  <c r="K137" i="6"/>
  <c r="L137" i="6"/>
  <c r="J187" i="11" l="1"/>
  <c r="K186" i="11"/>
  <c r="K136" i="8"/>
  <c r="L136" i="8"/>
  <c r="J139" i="6"/>
  <c r="K138" i="6"/>
  <c r="L138" i="6"/>
  <c r="J188" i="11" l="1"/>
  <c r="K187" i="11"/>
  <c r="L137" i="8"/>
  <c r="K137" i="8"/>
  <c r="J140" i="6"/>
  <c r="K139" i="6"/>
  <c r="L139" i="6"/>
  <c r="J189" i="11" l="1"/>
  <c r="K188" i="11"/>
  <c r="L138" i="8"/>
  <c r="K138" i="8"/>
  <c r="J141" i="6"/>
  <c r="L140" i="6"/>
  <c r="K140" i="6"/>
  <c r="J190" i="11" l="1"/>
  <c r="K189" i="11"/>
  <c r="L139" i="8"/>
  <c r="K139" i="8"/>
  <c r="J142" i="6"/>
  <c r="K141" i="6"/>
  <c r="L141" i="6"/>
  <c r="J191" i="11" l="1"/>
  <c r="K190" i="11"/>
  <c r="L140" i="8"/>
  <c r="K140" i="8"/>
  <c r="J143" i="6"/>
  <c r="K142" i="6"/>
  <c r="L142" i="6"/>
  <c r="J192" i="11" l="1"/>
  <c r="K191" i="11"/>
  <c r="K141" i="8"/>
  <c r="L141" i="8"/>
  <c r="J144" i="6"/>
  <c r="K143" i="6"/>
  <c r="L143" i="6"/>
  <c r="J193" i="11" l="1"/>
  <c r="K192" i="11"/>
  <c r="L142" i="8"/>
  <c r="K142" i="8"/>
  <c r="J145" i="6"/>
  <c r="K144" i="6"/>
  <c r="L144" i="6"/>
  <c r="J194" i="11" l="1"/>
  <c r="K193" i="11"/>
  <c r="L143" i="8"/>
  <c r="K143" i="8"/>
  <c r="K145" i="6"/>
  <c r="J146" i="6"/>
  <c r="L145" i="6"/>
  <c r="J195" i="11" l="1"/>
  <c r="K194" i="11"/>
  <c r="L144" i="8"/>
  <c r="K144" i="8"/>
  <c r="J147" i="6"/>
  <c r="K146" i="6"/>
  <c r="L146" i="6"/>
  <c r="J196" i="11" l="1"/>
  <c r="K195" i="11"/>
  <c r="L145" i="8"/>
  <c r="K145" i="8"/>
  <c r="J148" i="6"/>
  <c r="K147" i="6"/>
  <c r="L147" i="6"/>
  <c r="J197" i="11" l="1"/>
  <c r="K196" i="11"/>
  <c r="K146" i="8"/>
  <c r="L146" i="8"/>
  <c r="K148" i="6"/>
  <c r="J149" i="6"/>
  <c r="L148" i="6"/>
  <c r="J198" i="11" l="1"/>
  <c r="K197" i="11"/>
  <c r="K147" i="8"/>
  <c r="L147" i="8"/>
  <c r="J150" i="6"/>
  <c r="K149" i="6"/>
  <c r="L149" i="6"/>
  <c r="J199" i="11" l="1"/>
  <c r="K198" i="11"/>
  <c r="L148" i="8"/>
  <c r="K148" i="8"/>
  <c r="J151" i="6"/>
  <c r="K150" i="6"/>
  <c r="L150" i="6"/>
  <c r="J200" i="11" l="1"/>
  <c r="K199" i="11"/>
  <c r="L149" i="8"/>
  <c r="K149" i="8"/>
  <c r="K151" i="6"/>
  <c r="J152" i="6"/>
  <c r="L151" i="6"/>
  <c r="J201" i="11" l="1"/>
  <c r="K200" i="11"/>
  <c r="L150" i="8"/>
  <c r="K150" i="8"/>
  <c r="K152" i="6"/>
  <c r="L152" i="6"/>
  <c r="J153" i="6"/>
  <c r="J202" i="11" l="1"/>
  <c r="K201" i="11"/>
  <c r="L151" i="8"/>
  <c r="K151" i="8"/>
  <c r="J154" i="6"/>
  <c r="L153" i="6"/>
  <c r="K153" i="6"/>
  <c r="J203" i="11" l="1"/>
  <c r="K202" i="11"/>
  <c r="L152" i="8"/>
  <c r="K152" i="8"/>
  <c r="L154" i="6"/>
  <c r="K154" i="6"/>
  <c r="J155" i="6"/>
  <c r="J204" i="11" l="1"/>
  <c r="K203" i="11"/>
  <c r="L153" i="8"/>
  <c r="K153" i="8"/>
  <c r="K155" i="6"/>
  <c r="J156" i="6"/>
  <c r="L155" i="6"/>
  <c r="J205" i="11" l="1"/>
  <c r="K204" i="11"/>
  <c r="K154" i="8"/>
  <c r="L154" i="8"/>
  <c r="J157" i="6"/>
  <c r="K156" i="6"/>
  <c r="L156" i="6"/>
  <c r="J206" i="11" l="1"/>
  <c r="K205" i="11"/>
  <c r="L155" i="8"/>
  <c r="K155" i="8"/>
  <c r="L157" i="6"/>
  <c r="J158" i="6"/>
  <c r="K157" i="6"/>
  <c r="J207" i="11" l="1"/>
  <c r="K206" i="11"/>
  <c r="K156" i="8"/>
  <c r="L156" i="8"/>
  <c r="J159" i="6"/>
  <c r="K158" i="6"/>
  <c r="L158" i="6"/>
  <c r="J208" i="11" l="1"/>
  <c r="K207" i="11"/>
  <c r="L157" i="8"/>
  <c r="K157" i="8"/>
  <c r="J160" i="6"/>
  <c r="K159" i="6"/>
  <c r="L159" i="6"/>
  <c r="J209" i="11" l="1"/>
  <c r="K208" i="11"/>
  <c r="L158" i="8"/>
  <c r="K158" i="8"/>
  <c r="J161" i="6"/>
  <c r="K160" i="6"/>
  <c r="L160" i="6"/>
  <c r="J210" i="11" l="1"/>
  <c r="K209" i="11"/>
  <c r="L159" i="8"/>
  <c r="K159" i="8"/>
  <c r="K161" i="6"/>
  <c r="J162" i="6"/>
  <c r="L161" i="6"/>
  <c r="J211" i="11" l="1"/>
  <c r="K210" i="11"/>
  <c r="K160" i="8"/>
  <c r="L160" i="8"/>
  <c r="J163" i="6"/>
  <c r="K162" i="6"/>
  <c r="L162" i="6"/>
  <c r="J212" i="11" l="1"/>
  <c r="K211" i="11"/>
  <c r="K161" i="8"/>
  <c r="L161" i="8"/>
  <c r="J164" i="6"/>
  <c r="K163" i="6"/>
  <c r="L163" i="6"/>
  <c r="J213" i="11" l="1"/>
  <c r="K212" i="11"/>
  <c r="L162" i="8"/>
  <c r="K162" i="8"/>
  <c r="J165" i="6"/>
  <c r="K164" i="6"/>
  <c r="L164" i="6"/>
  <c r="J214" i="11" l="1"/>
  <c r="K213" i="11"/>
  <c r="L163" i="8"/>
  <c r="K163" i="8"/>
  <c r="K165" i="6"/>
  <c r="J166" i="6"/>
  <c r="L165" i="6"/>
  <c r="J215" i="11" l="1"/>
  <c r="K214" i="11"/>
  <c r="L164" i="8"/>
  <c r="K164" i="8"/>
  <c r="L166" i="6"/>
  <c r="J167" i="6"/>
  <c r="K166" i="6"/>
  <c r="J216" i="11" l="1"/>
  <c r="K215" i="11"/>
  <c r="L165" i="8"/>
  <c r="K165" i="8"/>
  <c r="J168" i="6"/>
  <c r="K167" i="6"/>
  <c r="L167" i="6"/>
  <c r="J217" i="11" l="1"/>
  <c r="K216" i="11"/>
  <c r="K166" i="8"/>
  <c r="L166" i="8"/>
  <c r="J169" i="6"/>
  <c r="L168" i="6"/>
  <c r="K168" i="6"/>
  <c r="J218" i="11" l="1"/>
  <c r="K217" i="11"/>
  <c r="K167" i="8"/>
  <c r="L167" i="8"/>
  <c r="K169" i="6"/>
  <c r="L169" i="6"/>
  <c r="J170" i="6"/>
  <c r="J219" i="11" l="1"/>
  <c r="K218" i="11"/>
  <c r="L168" i="8"/>
  <c r="K168" i="8"/>
  <c r="J171" i="6"/>
  <c r="L170" i="6"/>
  <c r="K170" i="6"/>
  <c r="J220" i="11" l="1"/>
  <c r="K219" i="11"/>
  <c r="L169" i="8"/>
  <c r="K169" i="8"/>
  <c r="K171" i="6"/>
  <c r="L171" i="6"/>
  <c r="J172" i="6"/>
  <c r="J221" i="11" l="1"/>
  <c r="K220" i="11"/>
  <c r="L170" i="8"/>
  <c r="K170" i="8"/>
  <c r="J173" i="6"/>
  <c r="K172" i="6"/>
  <c r="L172" i="6"/>
  <c r="J222" i="11" l="1"/>
  <c r="K221" i="11"/>
  <c r="K171" i="8"/>
  <c r="L171" i="8"/>
  <c r="J174" i="6"/>
  <c r="K173" i="6"/>
  <c r="L173" i="6"/>
  <c r="J223" i="11" l="1"/>
  <c r="K222" i="11"/>
  <c r="L172" i="8"/>
  <c r="K172" i="8"/>
  <c r="J175" i="6"/>
  <c r="L174" i="6"/>
  <c r="K174" i="6"/>
  <c r="J224" i="11" l="1"/>
  <c r="K223" i="11"/>
  <c r="L173" i="8"/>
  <c r="K173" i="8"/>
  <c r="K175" i="6"/>
  <c r="J176" i="6"/>
  <c r="L175" i="6"/>
  <c r="J225" i="11" l="1"/>
  <c r="K224" i="11"/>
  <c r="K174" i="8"/>
  <c r="L174" i="8"/>
  <c r="J177" i="6"/>
  <c r="K176" i="6"/>
  <c r="L176" i="6"/>
  <c r="J226" i="11" l="1"/>
  <c r="K225" i="11"/>
  <c r="L175" i="8"/>
  <c r="K175" i="8"/>
  <c r="J178" i="6"/>
  <c r="L177" i="6"/>
  <c r="K177" i="6"/>
  <c r="J227" i="11" l="1"/>
  <c r="K226" i="11"/>
  <c r="K176" i="8"/>
  <c r="L176" i="8"/>
  <c r="J179" i="6"/>
  <c r="K178" i="6"/>
  <c r="L178" i="6"/>
  <c r="J228" i="11" l="1"/>
  <c r="K227" i="11"/>
  <c r="K177" i="8"/>
  <c r="L177" i="8"/>
  <c r="J180" i="6"/>
  <c r="K179" i="6"/>
  <c r="L179" i="6"/>
  <c r="J229" i="11" l="1"/>
  <c r="K228" i="11"/>
  <c r="L178" i="8"/>
  <c r="K178" i="8"/>
  <c r="J181" i="6"/>
  <c r="K180" i="6"/>
  <c r="L180" i="6"/>
  <c r="J230" i="11" l="1"/>
  <c r="K229" i="11"/>
  <c r="L179" i="8"/>
  <c r="K179" i="8"/>
  <c r="K181" i="6"/>
  <c r="J182" i="6"/>
  <c r="L181" i="6"/>
  <c r="J231" i="11" l="1"/>
  <c r="K230" i="11"/>
  <c r="L180" i="8"/>
  <c r="K180" i="8"/>
  <c r="K182" i="6"/>
  <c r="J183" i="6"/>
  <c r="L182" i="6"/>
  <c r="J232" i="11" l="1"/>
  <c r="K231" i="11"/>
  <c r="L181" i="8"/>
  <c r="K181" i="8"/>
  <c r="J184" i="6"/>
  <c r="K183" i="6"/>
  <c r="L183" i="6"/>
  <c r="J233" i="11" l="1"/>
  <c r="K232" i="11"/>
  <c r="L182" i="8"/>
  <c r="K182" i="8"/>
  <c r="J185" i="6"/>
  <c r="K184" i="6"/>
  <c r="L184" i="6"/>
  <c r="J234" i="11" l="1"/>
  <c r="K233" i="11"/>
  <c r="K183" i="8"/>
  <c r="L183" i="8"/>
  <c r="K185" i="6"/>
  <c r="J186" i="6"/>
  <c r="L185" i="6"/>
  <c r="J235" i="11" l="1"/>
  <c r="K234" i="11"/>
  <c r="L184" i="8"/>
  <c r="K184" i="8"/>
  <c r="J187" i="6"/>
  <c r="L186" i="6"/>
  <c r="K186" i="6"/>
  <c r="J236" i="11" l="1"/>
  <c r="K235" i="11"/>
  <c r="L185" i="8"/>
  <c r="K185" i="8"/>
  <c r="J188" i="6"/>
  <c r="K187" i="6"/>
  <c r="L187" i="6"/>
  <c r="J237" i="11" l="1"/>
  <c r="K236" i="11"/>
  <c r="K186" i="8"/>
  <c r="L186" i="8"/>
  <c r="K188" i="6"/>
  <c r="J189" i="6"/>
  <c r="L188" i="6"/>
  <c r="J238" i="11" l="1"/>
  <c r="K237" i="11"/>
  <c r="L187" i="8"/>
  <c r="K187" i="8"/>
  <c r="J190" i="6"/>
  <c r="K189" i="6"/>
  <c r="L189" i="6"/>
  <c r="J239" i="11" l="1"/>
  <c r="K238" i="11"/>
  <c r="L188" i="8"/>
  <c r="K188" i="8"/>
  <c r="J191" i="6"/>
  <c r="K190" i="6"/>
  <c r="L190" i="6"/>
  <c r="J240" i="11" l="1"/>
  <c r="K239" i="11"/>
  <c r="L189" i="8"/>
  <c r="K189" i="8"/>
  <c r="K191" i="6"/>
  <c r="J192" i="6"/>
  <c r="L191" i="6"/>
  <c r="J241" i="11" l="1"/>
  <c r="K240" i="11"/>
  <c r="L190" i="8"/>
  <c r="K190" i="8"/>
  <c r="J193" i="6"/>
  <c r="K192" i="6"/>
  <c r="L192" i="6"/>
  <c r="J242" i="11" l="1"/>
  <c r="K241" i="11"/>
  <c r="K191" i="8"/>
  <c r="L191" i="8"/>
  <c r="J194" i="6"/>
  <c r="K193" i="6"/>
  <c r="L193" i="6"/>
  <c r="J243" i="11" l="1"/>
  <c r="K242" i="11"/>
  <c r="L192" i="8"/>
  <c r="K192" i="8"/>
  <c r="J195" i="6"/>
  <c r="L194" i="6"/>
  <c r="K194" i="6"/>
  <c r="J244" i="11" l="1"/>
  <c r="K243" i="11"/>
  <c r="L193" i="8"/>
  <c r="K193" i="8"/>
  <c r="K195" i="6"/>
  <c r="J196" i="6"/>
  <c r="L195" i="6"/>
  <c r="J245" i="11" l="1"/>
  <c r="K244" i="11"/>
  <c r="L194" i="8"/>
  <c r="K194" i="8"/>
  <c r="J197" i="6"/>
  <c r="K196" i="6"/>
  <c r="L196" i="6"/>
  <c r="J246" i="11" l="1"/>
  <c r="K245" i="11"/>
  <c r="L195" i="8"/>
  <c r="K195" i="8"/>
  <c r="J198" i="6"/>
  <c r="K197" i="6"/>
  <c r="L197" i="6"/>
  <c r="J247" i="11" l="1"/>
  <c r="K246" i="11"/>
  <c r="K196" i="8"/>
  <c r="L196" i="8"/>
  <c r="J199" i="6"/>
  <c r="K198" i="6"/>
  <c r="L198" i="6"/>
  <c r="J248" i="11" l="1"/>
  <c r="K247" i="11"/>
  <c r="L197" i="8"/>
  <c r="K197" i="8"/>
  <c r="K199" i="6"/>
  <c r="J200" i="6"/>
  <c r="L199" i="6"/>
  <c r="J249" i="11" l="1"/>
  <c r="K249" i="11" s="1"/>
  <c r="K248" i="11"/>
  <c r="L198" i="8"/>
  <c r="K198" i="8"/>
  <c r="J201" i="6"/>
  <c r="K200" i="6"/>
  <c r="L200" i="6"/>
  <c r="L199" i="8" l="1"/>
  <c r="K199" i="8"/>
  <c r="J202" i="6"/>
  <c r="K201" i="6"/>
  <c r="L201" i="6"/>
  <c r="L200" i="8" l="1"/>
  <c r="K200" i="8"/>
  <c r="J203" i="6"/>
  <c r="K202" i="6"/>
  <c r="L202" i="6"/>
  <c r="L201" i="8" l="1"/>
  <c r="K201" i="8"/>
  <c r="J204" i="6"/>
  <c r="K203" i="6"/>
  <c r="L203" i="6"/>
  <c r="L202" i="8" l="1"/>
  <c r="K202" i="8"/>
  <c r="J205" i="6"/>
  <c r="K204" i="6"/>
  <c r="L204" i="6"/>
  <c r="K203" i="8" l="1"/>
  <c r="L203" i="8"/>
  <c r="K205" i="6"/>
  <c r="J206" i="6"/>
  <c r="L205" i="6"/>
  <c r="K204" i="8" l="1"/>
  <c r="L204" i="8"/>
  <c r="J207" i="6"/>
  <c r="L206" i="6"/>
  <c r="K206" i="6"/>
  <c r="L205" i="8" l="1"/>
  <c r="K205" i="8"/>
  <c r="J208" i="6"/>
  <c r="K207" i="6"/>
  <c r="L207" i="6"/>
  <c r="K206" i="8" l="1"/>
  <c r="L206" i="8"/>
  <c r="K208" i="6"/>
  <c r="J209" i="6"/>
  <c r="L208" i="6"/>
  <c r="L207" i="8" l="1"/>
  <c r="K207" i="8"/>
  <c r="J210" i="6"/>
  <c r="L209" i="6"/>
  <c r="K209" i="6"/>
  <c r="L208" i="8" l="1"/>
  <c r="K208" i="8"/>
  <c r="K210" i="6"/>
  <c r="J211" i="6"/>
  <c r="L210" i="6"/>
  <c r="L209" i="8" l="1"/>
  <c r="K209" i="8"/>
  <c r="J212" i="6"/>
  <c r="K211" i="6"/>
  <c r="L211" i="6"/>
  <c r="K210" i="8" l="1"/>
  <c r="L210" i="8"/>
  <c r="J213" i="6"/>
  <c r="K212" i="6"/>
  <c r="L212" i="6"/>
  <c r="L211" i="8" l="1"/>
  <c r="K211" i="8"/>
  <c r="J214" i="6"/>
  <c r="K213" i="6"/>
  <c r="L213" i="6"/>
  <c r="L212" i="8" l="1"/>
  <c r="K212" i="8"/>
  <c r="J215" i="6"/>
  <c r="L214" i="6"/>
  <c r="K214" i="6"/>
  <c r="L213" i="8" l="1"/>
  <c r="K213" i="8"/>
  <c r="K215" i="6"/>
  <c r="J216" i="6"/>
  <c r="L215" i="6"/>
  <c r="L214" i="8" l="1"/>
  <c r="K214" i="8"/>
  <c r="J217" i="6"/>
  <c r="K216" i="6"/>
  <c r="L216" i="6"/>
  <c r="L215" i="8" l="1"/>
  <c r="K215" i="8"/>
  <c r="J218" i="6"/>
  <c r="K217" i="6"/>
  <c r="L217" i="6"/>
  <c r="K216" i="8" l="1"/>
  <c r="L216" i="8"/>
  <c r="K218" i="6"/>
  <c r="J219" i="6"/>
  <c r="L218" i="6"/>
  <c r="K217" i="8" l="1"/>
  <c r="L217" i="8"/>
  <c r="J220" i="6"/>
  <c r="K219" i="6"/>
  <c r="L219" i="6"/>
  <c r="L218" i="8" l="1"/>
  <c r="K218" i="8"/>
  <c r="J221" i="6"/>
  <c r="K220" i="6"/>
  <c r="L220" i="6"/>
  <c r="L219" i="8" l="1"/>
  <c r="K219" i="8"/>
  <c r="J222" i="6"/>
  <c r="K221" i="6"/>
  <c r="L221" i="6"/>
  <c r="L220" i="8" l="1"/>
  <c r="K220" i="8"/>
  <c r="J223" i="6"/>
  <c r="K222" i="6"/>
  <c r="L222" i="6"/>
  <c r="K221" i="8" l="1"/>
  <c r="L221" i="8"/>
  <c r="J224" i="6"/>
  <c r="K223" i="6"/>
  <c r="L223" i="6"/>
  <c r="L222" i="8" l="1"/>
  <c r="K222" i="8"/>
  <c r="J225" i="6"/>
  <c r="K224" i="6"/>
  <c r="L224" i="6"/>
  <c r="K223" i="8" l="1"/>
  <c r="L223" i="8"/>
  <c r="K225" i="6"/>
  <c r="J226" i="6"/>
  <c r="L225" i="6"/>
  <c r="K224" i="8" l="1"/>
  <c r="L224" i="8"/>
  <c r="J227" i="6"/>
  <c r="K226" i="6"/>
  <c r="L226" i="6"/>
  <c r="L225" i="8" l="1"/>
  <c r="K225" i="8"/>
  <c r="K227" i="6"/>
  <c r="L227" i="6"/>
  <c r="J228" i="6"/>
  <c r="K226" i="8" l="1"/>
  <c r="L226" i="8"/>
  <c r="K228" i="6"/>
  <c r="J229" i="6"/>
  <c r="L228" i="6"/>
  <c r="K227" i="8" l="1"/>
  <c r="L227" i="8"/>
  <c r="J230" i="6"/>
  <c r="K229" i="6"/>
  <c r="L229" i="6"/>
  <c r="L228" i="8" l="1"/>
  <c r="K228" i="8"/>
  <c r="J231" i="6"/>
  <c r="L230" i="6"/>
  <c r="K230" i="6"/>
  <c r="L229" i="8" l="1"/>
  <c r="K229" i="8"/>
  <c r="K231" i="6"/>
  <c r="J232" i="6"/>
  <c r="L231" i="6"/>
  <c r="L230" i="8" l="1"/>
  <c r="K230" i="8"/>
  <c r="K232" i="6"/>
  <c r="J233" i="6"/>
  <c r="L232" i="6"/>
  <c r="L231" i="8" l="1"/>
  <c r="K231" i="8"/>
  <c r="J234" i="6"/>
  <c r="L233" i="6"/>
  <c r="K233" i="6"/>
  <c r="L232" i="8" l="1"/>
  <c r="K232" i="8"/>
  <c r="J235" i="6"/>
  <c r="K234" i="6"/>
  <c r="L234" i="6"/>
  <c r="K233" i="8" l="1"/>
  <c r="L233" i="8"/>
  <c r="K235" i="6"/>
  <c r="J236" i="6"/>
  <c r="L235" i="6"/>
  <c r="L234" i="8" l="1"/>
  <c r="K234" i="8"/>
  <c r="L236" i="6"/>
  <c r="J237" i="6"/>
  <c r="K236" i="6"/>
  <c r="L235" i="8" l="1"/>
  <c r="K235" i="8"/>
  <c r="J238" i="6"/>
  <c r="K237" i="6"/>
  <c r="L237" i="6"/>
  <c r="K236" i="8" l="1"/>
  <c r="L236" i="8"/>
  <c r="K238" i="6"/>
  <c r="J239" i="6"/>
  <c r="L238" i="6"/>
  <c r="L237" i="8" l="1"/>
  <c r="K237" i="8"/>
  <c r="K239" i="6"/>
  <c r="L239" i="6"/>
  <c r="J240" i="6"/>
  <c r="L238" i="8" l="1"/>
  <c r="K238" i="8"/>
  <c r="J241" i="6"/>
  <c r="K240" i="6"/>
  <c r="L240" i="6"/>
  <c r="L239" i="8" l="1"/>
  <c r="K239" i="8"/>
  <c r="J242" i="6"/>
  <c r="K241" i="6"/>
  <c r="L241" i="6"/>
  <c r="L240" i="8" l="1"/>
  <c r="K240" i="8"/>
  <c r="K242" i="6"/>
  <c r="J243" i="6"/>
  <c r="L242" i="6"/>
  <c r="L241" i="8" l="1"/>
  <c r="K241" i="8"/>
  <c r="J244" i="6"/>
  <c r="K243" i="6"/>
  <c r="L243" i="6"/>
  <c r="L242" i="8" l="1"/>
  <c r="K242" i="8"/>
  <c r="J245" i="6"/>
  <c r="K244" i="6"/>
  <c r="L244" i="6"/>
  <c r="L243" i="8" l="1"/>
  <c r="K243" i="8"/>
  <c r="K245" i="6"/>
  <c r="J246" i="6"/>
  <c r="L245" i="6"/>
  <c r="K244" i="8" l="1"/>
  <c r="L244" i="8"/>
  <c r="J247" i="6"/>
  <c r="K246" i="6"/>
  <c r="L246" i="6"/>
  <c r="L245" i="8" l="1"/>
  <c r="K245" i="8"/>
  <c r="J248" i="6"/>
  <c r="L247" i="6"/>
  <c r="K247" i="6"/>
  <c r="K246" i="8" l="1"/>
  <c r="L246" i="8"/>
  <c r="L248" i="6"/>
  <c r="J249" i="6"/>
  <c r="K248" i="6"/>
  <c r="K247" i="8" l="1"/>
  <c r="L247" i="8"/>
  <c r="K249" i="6"/>
  <c r="L249" i="6"/>
  <c r="L248" i="8" l="1"/>
  <c r="K248" i="8"/>
  <c r="L249" i="8" l="1"/>
  <c r="K249" i="8"/>
</calcChain>
</file>

<file path=xl/sharedStrings.xml><?xml version="1.0" encoding="utf-8"?>
<sst xmlns="http://schemas.openxmlformats.org/spreadsheetml/2006/main" count="503" uniqueCount="314">
  <si>
    <t>Well</t>
  </si>
  <si>
    <t>Phosphates</t>
  </si>
  <si>
    <t>NH4SO4</t>
  </si>
  <si>
    <t>CoCl2</t>
  </si>
  <si>
    <t>Succinate</t>
  </si>
  <si>
    <t>Methanol</t>
  </si>
  <si>
    <t>PQQ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</si>
  <si>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</si>
  <si>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</si>
  <si>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</si>
  <si>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</si>
  <si>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</si>
  <si>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</si>
  <si>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</si>
  <si>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</si>
  <si>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</si>
  <si>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</si>
  <si>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</si>
  <si>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</si>
  <si>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</si>
  <si>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</si>
  <si>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</si>
  <si>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</si>
  <si>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</si>
  <si>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</si>
  <si>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</si>
  <si>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</si>
  <si>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</si>
  <si>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</si>
  <si>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</si>
  <si>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</si>
  <si>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</si>
  <si>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</si>
  <si>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</si>
  <si>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</si>
  <si>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</si>
  <si>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</si>
  <si>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</si>
  <si>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</si>
  <si>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</si>
  <si>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</si>
  <si>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</si>
  <si>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</si>
  <si>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</si>
  <si>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</si>
  <si>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</si>
  <si>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</si>
  <si>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</si>
  <si>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</si>
  <si>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</si>
  <si>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</si>
  <si>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</si>
  <si>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</si>
  <si>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</si>
  <si>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</si>
  <si>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</si>
  <si>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</si>
  <si>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</si>
  <si>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</si>
  <si>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</si>
  <si>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</si>
  <si>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</si>
  <si>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</si>
  <si>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</si>
  <si>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</si>
  <si>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</si>
  <si>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</si>
  <si>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</si>
  <si>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</si>
  <si>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</si>
  <si>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</si>
  <si>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</si>
  <si>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</si>
  <si>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</si>
  <si>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</si>
  <si>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</si>
  <si>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</si>
  <si>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</si>
  <si>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</si>
  <si>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</si>
  <si>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</si>
  <si>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</si>
  <si>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</si>
  <si>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</si>
  <si>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</si>
  <si>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</si>
  <si>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</si>
  <si>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</si>
  <si>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</si>
  <si>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</si>
  <si>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</si>
  <si>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</si>
  <si>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</si>
  <si>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</si>
  <si>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</si>
  <si>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</si>
  <si>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</si>
  <si>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</si>
  <si>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</si>
  <si>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</si>
  <si>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</si>
  <si>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</si>
  <si>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</si>
  <si>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</si>
  <si>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</si>
  <si>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</si>
  <si>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</si>
  <si>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</si>
  <si>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</si>
  <si>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</si>
  <si>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</si>
  <si>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</si>
  <si>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</si>
  <si>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</si>
  <si>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</si>
  <si>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</si>
  <si>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</si>
  <si>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</si>
  <si>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</si>
  <si>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</si>
  <si>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</si>
  <si>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</si>
  <si>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</si>
  <si>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</si>
  <si>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</si>
  <si>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</si>
  <si>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</si>
  <si>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</si>
  <si>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</si>
  <si>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</si>
  <si>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</si>
  <si>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</si>
  <si>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</si>
  <si>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</si>
  <si>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</si>
  <si>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</si>
  <si>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</si>
  <si>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</si>
  <si>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</si>
  <si>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</si>
  <si>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</si>
  <si>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</si>
  <si>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</si>
  <si>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</si>
  <si>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</si>
  <si>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</si>
  <si>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</si>
  <si>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</si>
  <si>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</si>
  <si>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</si>
  <si>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</si>
  <si>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</si>
  <si>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</si>
  <si>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</si>
  <si>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</si>
  <si>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</si>
  <si>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</si>
  <si>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</si>
  <si>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</si>
  <si>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</si>
  <si>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</si>
  <si>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</si>
  <si>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</si>
  <si>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</si>
  <si>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</si>
  <si>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</si>
  <si>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</si>
  <si>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</si>
  <si>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</si>
  <si>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</si>
  <si>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</si>
  <si>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</si>
  <si>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</si>
  <si>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</si>
  <si>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</si>
  <si>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</si>
  <si>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</si>
  <si>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</si>
  <si>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</si>
  <si>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</si>
  <si>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</si>
  <si>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</si>
  <si>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</si>
  <si>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</si>
  <si>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</si>
  <si>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</si>
  <si>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</si>
  <si>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</si>
  <si>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</si>
  <si>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</si>
  <si>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</si>
  <si>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</si>
  <si>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</si>
  <si>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</si>
  <si>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</si>
  <si>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</si>
  <si>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</si>
  <si>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</si>
  <si>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</si>
  <si>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</si>
  <si>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</si>
  <si>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</si>
  <si>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</si>
  <si>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</si>
  <si>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</si>
  <si>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</si>
  <si>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</si>
  <si>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</si>
  <si>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</si>
  <si>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</si>
  <si>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</si>
  <si>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</si>
  <si>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</si>
  <si>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</si>
  <si>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</si>
  <si>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</si>
  <si>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</si>
  <si>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</si>
  <si>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</si>
  <si>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</si>
  <si>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</si>
  <si>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</si>
  <si>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</si>
  <si>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</si>
  <si>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</si>
  <si>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</si>
  <si>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</si>
  <si>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</si>
  <si>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</si>
  <si>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</si>
  <si>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</si>
  <si>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</si>
  <si>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</si>
  <si>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</si>
  <si>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</si>
  <si>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</si>
  <si>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</si>
  <si>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</si>
  <si>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</si>
  <si>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</si>
  <si>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</si>
  <si>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</si>
  <si>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</si>
  <si>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</si>
  <si>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</si>
  <si>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</si>
  <si>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</si>
  <si>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</si>
  <si>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</si>
  <si>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</si>
  <si>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</si>
  <si>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</si>
  <si>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</si>
  <si>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</si>
  <si>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</si>
  <si>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</si>
  <si>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</si>
  <si>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</si>
  <si>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</si>
  <si>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</si>
  <si>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</si>
  <si>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</si>
  <si>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</si>
  <si>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</si>
  <si>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</si>
  <si>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</si>
  <si>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</si>
  <si>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</si>
  <si>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</si>
  <si>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</si>
  <si>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</si>
  <si>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</si>
  <si>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</si>
  <si>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</si>
  <si>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</si>
  <si>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</si>
  <si>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</si>
  <si>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</si>
  <si>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</si>
  <si>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</si>
  <si>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</si>
  <si>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</si>
  <si>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</si>
  <si>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K</t>
  </si>
  <si>
    <t>Na</t>
  </si>
  <si>
    <t xml:space="preserve"> </t>
  </si>
  <si>
    <t>total</t>
  </si>
  <si>
    <t xml:space="preserve">phosphate </t>
  </si>
  <si>
    <t xml:space="preserve">0.5 - 50mM </t>
  </si>
  <si>
    <t xml:space="preserve">range </t>
  </si>
  <si>
    <t xml:space="preserve">media </t>
  </si>
  <si>
    <t>stock high</t>
  </si>
  <si>
    <t xml:space="preserve">stock low </t>
  </si>
  <si>
    <t>100X</t>
  </si>
  <si>
    <t xml:space="preserve">500mM </t>
  </si>
  <si>
    <t>phosphate</t>
  </si>
  <si>
    <t>low stock</t>
  </si>
  <si>
    <t xml:space="preserve">high stock </t>
  </si>
  <si>
    <t>low</t>
  </si>
  <si>
    <t>high</t>
  </si>
  <si>
    <t>diff</t>
  </si>
  <si>
    <t>/10</t>
  </si>
  <si>
    <t>min</t>
  </si>
  <si>
    <t>high ul</t>
  </si>
  <si>
    <t xml:space="preserve">low ul </t>
  </si>
  <si>
    <t>media low</t>
  </si>
  <si>
    <t>media high</t>
  </si>
  <si>
    <t>final well volume</t>
  </si>
  <si>
    <t>addtion break</t>
  </si>
  <si>
    <t>Nh4So4</t>
  </si>
  <si>
    <t xml:space="preserve">high ul </t>
  </si>
  <si>
    <t xml:space="preserve">media conc </t>
  </si>
  <si>
    <t>methanol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</si>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</sst>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B29A-EED8-CB4C-B045-60378BD75F43}">
  <dimension ref="A1:G277"/>
  <sheetViews>
    <sheetView topLeftCell="A90" workbookViewId="0">
      <selection activeCell="A158" sqref="A158:A27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49.825878811068797</v>
      </c>
      <c r="C2">
        <v>93.540846910327602</v>
      </c>
      <c r="D2">
        <v>5.6736024879291601E-2</v>
      </c>
      <c r="E2">
        <v>0.50513092428445805</v>
      </c>
      <c r="F2">
        <v>294.00869759730898</v>
      </c>
      <c r="G2">
        <v>4.2460882756858997E-3</v>
      </c>
    </row>
    <row r="3" spans="1:7" x14ac:dyDescent="0.2">
      <c r="A3" t="s">
        <v>8</v>
      </c>
      <c r="B3">
        <v>7.0851898775435904</v>
      </c>
      <c r="C3">
        <v>80.415134543552995</v>
      </c>
      <c r="D3">
        <v>1.9481544825714001E-2</v>
      </c>
      <c r="E3">
        <v>143.79543098620999</v>
      </c>
      <c r="F3">
        <v>55.717738741077397</v>
      </c>
      <c r="G3">
        <v>3.2110562780871899E-3</v>
      </c>
    </row>
    <row r="4" spans="1:7" x14ac:dyDescent="0.2">
      <c r="A4" t="s">
        <v>9</v>
      </c>
      <c r="B4">
        <v>4.8597110640257597</v>
      </c>
      <c r="C4">
        <v>60.115889973938401</v>
      </c>
      <c r="D4">
        <v>3.1329025706183102E-2</v>
      </c>
      <c r="E4">
        <v>12.9733021371066</v>
      </c>
      <c r="F4">
        <v>499.04868405777898</v>
      </c>
      <c r="G4" s="1">
        <v>4.7281542792916201E-5</v>
      </c>
    </row>
    <row r="5" spans="1:7" x14ac:dyDescent="0.2">
      <c r="A5" t="s">
        <v>10</v>
      </c>
      <c r="B5">
        <v>6.1507800100371197</v>
      </c>
      <c r="C5">
        <v>12.2209089118987</v>
      </c>
      <c r="D5">
        <v>6.1734341798536402E-2</v>
      </c>
      <c r="E5">
        <v>49.677422130480402</v>
      </c>
      <c r="F5">
        <v>197.045635478571</v>
      </c>
      <c r="G5">
        <v>4.8821262177079902E-3</v>
      </c>
    </row>
    <row r="6" spans="1:7" x14ac:dyDescent="0.2">
      <c r="A6" t="s">
        <v>11</v>
      </c>
      <c r="B6">
        <v>14.6584876314736</v>
      </c>
      <c r="C6">
        <v>15.012226568534899</v>
      </c>
      <c r="D6">
        <v>9.3469651720486505E-2</v>
      </c>
      <c r="E6">
        <v>147.78714752755999</v>
      </c>
      <c r="F6">
        <v>249.365256079472</v>
      </c>
      <c r="G6">
        <v>3.6747156362980601E-3</v>
      </c>
    </row>
    <row r="7" spans="1:7" x14ac:dyDescent="0.2">
      <c r="A7" t="s">
        <v>12</v>
      </c>
      <c r="B7">
        <v>31.397548643406399</v>
      </c>
      <c r="C7">
        <v>96.984122171997996</v>
      </c>
      <c r="D7">
        <v>7.91007612362504E-2</v>
      </c>
      <c r="E7">
        <v>5.9439147356897504</v>
      </c>
      <c r="F7">
        <v>378.878349028527</v>
      </c>
      <c r="G7">
        <v>4.9242434650659502E-3</v>
      </c>
    </row>
    <row r="8" spans="1:7" x14ac:dyDescent="0.2">
      <c r="A8" t="s">
        <v>13</v>
      </c>
      <c r="B8">
        <v>0.77974810125306204</v>
      </c>
      <c r="C8">
        <v>3.8881137017160601</v>
      </c>
      <c r="D8">
        <v>8.7120040873438095E-2</v>
      </c>
      <c r="E8">
        <v>9.6398126799613202</v>
      </c>
      <c r="F8">
        <v>293.26044677290997</v>
      </c>
      <c r="G8">
        <v>4.6170402830466601E-3</v>
      </c>
    </row>
    <row r="9" spans="1:7" x14ac:dyDescent="0.2">
      <c r="A9" t="s">
        <v>14</v>
      </c>
      <c r="B9">
        <v>37.377034206409</v>
      </c>
      <c r="C9">
        <v>73.284493109211297</v>
      </c>
      <c r="D9">
        <v>4.0110320899356101E-2</v>
      </c>
      <c r="E9">
        <v>84.469606960192294</v>
      </c>
      <c r="F9">
        <v>158.52585984859601</v>
      </c>
      <c r="G9">
        <v>1.94805001374334E-3</v>
      </c>
    </row>
    <row r="10" spans="1:7" x14ac:dyDescent="0.2">
      <c r="A10" t="s">
        <v>15</v>
      </c>
      <c r="B10">
        <v>1.44124495331197</v>
      </c>
      <c r="C10">
        <v>81.682920356281102</v>
      </c>
      <c r="D10">
        <v>6.7413520989846404E-2</v>
      </c>
      <c r="E10">
        <v>132.77122196741399</v>
      </c>
      <c r="F10">
        <v>115.999413039535</v>
      </c>
      <c r="G10">
        <v>4.6719357976689902E-3</v>
      </c>
    </row>
    <row r="11" spans="1:7" x14ac:dyDescent="0.2">
      <c r="A11" t="s">
        <v>16</v>
      </c>
      <c r="B11">
        <v>46.153077620081604</v>
      </c>
      <c r="C11">
        <v>69.882279902696595</v>
      </c>
      <c r="D11">
        <v>5.1014457620773397E-2</v>
      </c>
      <c r="E11">
        <v>125.027065258473</v>
      </c>
      <c r="F11">
        <v>64.289969317615004</v>
      </c>
      <c r="G11">
        <v>4.4623813359066797E-3</v>
      </c>
    </row>
    <row r="12" spans="1:7" x14ac:dyDescent="0.2">
      <c r="A12" t="s">
        <v>17</v>
      </c>
      <c r="B12">
        <v>47.1519209123216</v>
      </c>
      <c r="C12">
        <v>37.819047609344103</v>
      </c>
      <c r="D12">
        <v>5.7897082430310503E-3</v>
      </c>
      <c r="E12">
        <v>17.158464202657299</v>
      </c>
      <c r="F12">
        <v>392.54142092540798</v>
      </c>
      <c r="G12">
        <v>4.9145799642428701E-3</v>
      </c>
    </row>
    <row r="13" spans="1:7" x14ac:dyDescent="0.2">
      <c r="A13" t="s">
        <v>18</v>
      </c>
      <c r="B13">
        <v>15.674786957912101</v>
      </c>
      <c r="C13">
        <v>53.422004091553298</v>
      </c>
      <c r="D13">
        <v>5.5374814004171602E-2</v>
      </c>
      <c r="E13">
        <v>107.015523081645</v>
      </c>
      <c r="F13">
        <v>266.78821798413901</v>
      </c>
      <c r="G13">
        <v>2.9863775707781302E-3</v>
      </c>
    </row>
    <row r="14" spans="1:7" x14ac:dyDescent="0.2">
      <c r="A14" t="s">
        <v>19</v>
      </c>
      <c r="B14">
        <v>29.2945439736358</v>
      </c>
      <c r="C14">
        <v>17.468478743918201</v>
      </c>
      <c r="D14">
        <v>7.6943444339278994E-2</v>
      </c>
      <c r="E14">
        <v>105.93542153947</v>
      </c>
      <c r="F14">
        <v>124.477700828574</v>
      </c>
      <c r="G14">
        <v>2.8930910443887101E-3</v>
      </c>
    </row>
    <row r="15" spans="1:7" x14ac:dyDescent="0.2">
      <c r="A15" t="s">
        <v>20</v>
      </c>
      <c r="B15">
        <v>30.634830193593999</v>
      </c>
      <c r="C15">
        <v>77.713453898206296</v>
      </c>
      <c r="D15">
        <v>1.69637089259922E-3</v>
      </c>
      <c r="E15">
        <v>17.962835077196299</v>
      </c>
      <c r="F15">
        <v>228.120312853716</v>
      </c>
      <c r="G15">
        <v>4.3600090825930199E-3</v>
      </c>
    </row>
    <row r="16" spans="1:7" x14ac:dyDescent="0.2">
      <c r="A16" t="s">
        <v>21</v>
      </c>
      <c r="B16">
        <v>6.5879296287894196</v>
      </c>
      <c r="C16">
        <v>47.220124433748403</v>
      </c>
      <c r="D16">
        <v>9.9443011321779295E-2</v>
      </c>
      <c r="E16">
        <v>78.690133849158798</v>
      </c>
      <c r="F16">
        <v>16.179539370350501</v>
      </c>
      <c r="G16">
        <v>4.7726406902074796E-3</v>
      </c>
    </row>
    <row r="17" spans="1:7" x14ac:dyDescent="0.2">
      <c r="A17" t="s">
        <v>22</v>
      </c>
      <c r="B17">
        <v>14.874060424510301</v>
      </c>
      <c r="C17">
        <v>94.000032921321605</v>
      </c>
      <c r="D17">
        <v>9.5186606715619501E-2</v>
      </c>
      <c r="E17">
        <v>30.9676038566976</v>
      </c>
      <c r="F17">
        <v>216.38373163528701</v>
      </c>
      <c r="G17" s="1">
        <v>4.58630733191967E-5</v>
      </c>
    </row>
    <row r="18" spans="1:7" x14ac:dyDescent="0.2">
      <c r="A18" t="s">
        <v>23</v>
      </c>
      <c r="B18">
        <v>12.102159040048701</v>
      </c>
      <c r="C18">
        <v>74.343819062225506</v>
      </c>
      <c r="D18">
        <v>7.0366380441933803E-3</v>
      </c>
      <c r="E18">
        <v>58.2060994114726</v>
      </c>
      <c r="F18">
        <v>270.77139533590503</v>
      </c>
      <c r="G18">
        <v>3.6786247324198402E-3</v>
      </c>
    </row>
    <row r="19" spans="1:7" x14ac:dyDescent="0.2">
      <c r="A19" t="s">
        <v>24</v>
      </c>
      <c r="B19">
        <v>46.957623162306803</v>
      </c>
      <c r="C19">
        <v>20.285864924080599</v>
      </c>
      <c r="D19">
        <v>6.6432592280581598E-2</v>
      </c>
      <c r="E19">
        <v>73.273595329374004</v>
      </c>
      <c r="F19">
        <v>88.418644452467504</v>
      </c>
      <c r="G19">
        <v>4.6337916888296599E-3</v>
      </c>
    </row>
    <row r="20" spans="1:7" x14ac:dyDescent="0.2">
      <c r="A20" t="s">
        <v>25</v>
      </c>
      <c r="B20">
        <v>27.870133620686801</v>
      </c>
      <c r="C20">
        <v>17.241947039961801</v>
      </c>
      <c r="D20">
        <v>3.6986078797932698E-2</v>
      </c>
      <c r="E20">
        <v>10.7278897427022</v>
      </c>
      <c r="F20">
        <v>386.46148599684199</v>
      </c>
      <c r="G20">
        <v>2.7202021796256302E-4</v>
      </c>
    </row>
    <row r="21" spans="1:7" x14ac:dyDescent="0.2">
      <c r="A21" t="s">
        <v>26</v>
      </c>
      <c r="B21">
        <v>0.52715488104149699</v>
      </c>
      <c r="C21">
        <v>8.0978954425081593</v>
      </c>
      <c r="D21">
        <v>1.9556985228229299E-2</v>
      </c>
      <c r="E21">
        <v>28.9731966331601</v>
      </c>
      <c r="F21">
        <v>412.036359710618</v>
      </c>
      <c r="G21">
        <v>1.17456280160695E-3</v>
      </c>
    </row>
    <row r="22" spans="1:7" x14ac:dyDescent="0.2">
      <c r="A22" t="s">
        <v>27</v>
      </c>
      <c r="B22">
        <v>12.733591103460601</v>
      </c>
      <c r="C22">
        <v>72.837960016913698</v>
      </c>
      <c r="D22">
        <v>8.3528945002704802E-2</v>
      </c>
      <c r="E22">
        <v>122.808593697845</v>
      </c>
      <c r="F22">
        <v>26.474063117057</v>
      </c>
      <c r="G22">
        <v>3.2633127598091899E-3</v>
      </c>
    </row>
    <row r="23" spans="1:7" x14ac:dyDescent="0.2">
      <c r="A23" t="s">
        <v>28</v>
      </c>
      <c r="B23">
        <v>2.4798903288319698</v>
      </c>
      <c r="C23">
        <v>90.538062998093594</v>
      </c>
      <c r="D23">
        <v>1.5809092473611199E-2</v>
      </c>
      <c r="E23">
        <v>71.004307083785505</v>
      </c>
      <c r="F23">
        <v>301.15538679994597</v>
      </c>
      <c r="G23">
        <v>4.9101773276924998E-3</v>
      </c>
    </row>
    <row r="24" spans="1:7" x14ac:dyDescent="0.2">
      <c r="A24" t="s">
        <v>29</v>
      </c>
      <c r="B24">
        <v>22.742666247766401</v>
      </c>
      <c r="C24">
        <v>24.713253410533</v>
      </c>
      <c r="D24">
        <v>2.60950310067273E-2</v>
      </c>
      <c r="E24">
        <v>115.73835094459299</v>
      </c>
      <c r="F24">
        <v>289.75482110865403</v>
      </c>
      <c r="G24">
        <v>3.9229620667174401E-3</v>
      </c>
    </row>
    <row r="25" spans="1:7" x14ac:dyDescent="0.2">
      <c r="A25" t="s">
        <v>30</v>
      </c>
      <c r="B25">
        <v>1.3453952125273601</v>
      </c>
      <c r="C25">
        <v>12.767873900942501</v>
      </c>
      <c r="D25">
        <v>3.07288102842867E-3</v>
      </c>
      <c r="E25">
        <v>141.97218306362601</v>
      </c>
      <c r="F25">
        <v>313.95323966164102</v>
      </c>
      <c r="G25">
        <v>1.8794441036880001E-3</v>
      </c>
    </row>
    <row r="26" spans="1:7" x14ac:dyDescent="0.2">
      <c r="A26" t="s">
        <v>31</v>
      </c>
      <c r="B26">
        <v>23.4328018166124</v>
      </c>
      <c r="C26">
        <v>64.07631539274</v>
      </c>
      <c r="D26">
        <v>5.0227777392696502E-2</v>
      </c>
      <c r="E26">
        <v>94.690798781812106</v>
      </c>
      <c r="F26">
        <v>212.84285009838601</v>
      </c>
      <c r="G26">
        <v>2.2282540891319499E-3</v>
      </c>
    </row>
    <row r="27" spans="1:7" x14ac:dyDescent="0.2">
      <c r="A27" t="s">
        <v>32</v>
      </c>
      <c r="B27">
        <v>49.631592401768998</v>
      </c>
      <c r="C27">
        <v>51.139787173829902</v>
      </c>
      <c r="D27">
        <v>2.1290934563893801E-2</v>
      </c>
      <c r="E27">
        <v>56.6017327364534</v>
      </c>
      <c r="F27">
        <v>232.41294853389201</v>
      </c>
      <c r="G27">
        <v>4.0532103786244901E-3</v>
      </c>
    </row>
    <row r="28" spans="1:7" x14ac:dyDescent="0.2">
      <c r="A28" t="s">
        <v>33</v>
      </c>
      <c r="B28">
        <v>43.161387001629897</v>
      </c>
      <c r="C28">
        <v>4.8095728876069099</v>
      </c>
      <c r="D28">
        <v>9.5841478321980603E-2</v>
      </c>
      <c r="E28">
        <v>51.858671614900203</v>
      </c>
      <c r="F28">
        <v>410.22910473402499</v>
      </c>
      <c r="G28">
        <v>3.8355306815355998E-3</v>
      </c>
    </row>
    <row r="29" spans="1:7" x14ac:dyDescent="0.2">
      <c r="A29" t="s">
        <v>34</v>
      </c>
      <c r="B29">
        <v>35.738229388371103</v>
      </c>
      <c r="C29">
        <v>56.957020205445502</v>
      </c>
      <c r="D29">
        <v>9.9933344723843007E-2</v>
      </c>
      <c r="E29">
        <v>53.544246498495298</v>
      </c>
      <c r="F29">
        <v>211.35216442868099</v>
      </c>
      <c r="G29">
        <v>4.3941457197070096E-3</v>
      </c>
    </row>
    <row r="30" spans="1:7" x14ac:dyDescent="0.2">
      <c r="A30" t="s">
        <v>35</v>
      </c>
      <c r="B30">
        <v>44.262079872190903</v>
      </c>
      <c r="C30">
        <v>61.262189253233302</v>
      </c>
      <c r="D30">
        <v>4.5858030756469798E-2</v>
      </c>
      <c r="E30">
        <v>21.172678051516399</v>
      </c>
      <c r="F30">
        <v>257.89364683907399</v>
      </c>
      <c r="G30">
        <v>4.2594350501894904E-3</v>
      </c>
    </row>
    <row r="31" spans="1:7" x14ac:dyDescent="0.2">
      <c r="A31" t="s">
        <v>36</v>
      </c>
      <c r="B31">
        <v>33.446003321558202</v>
      </c>
      <c r="C31">
        <v>8.5200402811169607</v>
      </c>
      <c r="D31">
        <v>8.29635016730986E-2</v>
      </c>
      <c r="E31">
        <v>142.41320164874099</v>
      </c>
      <c r="F31">
        <v>188.11755831353301</v>
      </c>
      <c r="G31">
        <v>4.5657091354951197E-3</v>
      </c>
    </row>
    <row r="32" spans="1:7" x14ac:dyDescent="0.2">
      <c r="A32" t="s">
        <v>37</v>
      </c>
      <c r="B32">
        <v>25.056536299642101</v>
      </c>
      <c r="C32">
        <v>46.569510104134601</v>
      </c>
      <c r="D32">
        <v>2.93247613335028E-2</v>
      </c>
      <c r="E32">
        <v>101.78210665471801</v>
      </c>
      <c r="F32">
        <v>46.692725429311302</v>
      </c>
      <c r="G32" s="1">
        <v>2.7306415140628799E-5</v>
      </c>
    </row>
    <row r="33" spans="1:7" x14ac:dyDescent="0.2">
      <c r="A33" t="s">
        <v>38</v>
      </c>
      <c r="B33">
        <v>38.015642821788703</v>
      </c>
      <c r="C33">
        <v>41.1374133778736</v>
      </c>
      <c r="D33">
        <v>6.4974219530541402E-2</v>
      </c>
      <c r="E33">
        <v>96.266210870817304</v>
      </c>
      <c r="F33">
        <v>247.249617800116</v>
      </c>
      <c r="G33">
        <v>4.8126103309914401E-3</v>
      </c>
    </row>
    <row r="34" spans="1:7" x14ac:dyDescent="0.2">
      <c r="A34" t="s">
        <v>39</v>
      </c>
      <c r="B34">
        <v>37.7062758156098</v>
      </c>
      <c r="C34">
        <v>86.619577663950594</v>
      </c>
      <c r="D34">
        <v>1.16981834748759E-2</v>
      </c>
      <c r="E34">
        <v>7.5771979987621298</v>
      </c>
      <c r="F34">
        <v>278.17204986233202</v>
      </c>
      <c r="G34">
        <v>1.8551375810056899E-3</v>
      </c>
    </row>
    <row r="35" spans="1:7" x14ac:dyDescent="0.2">
      <c r="A35" t="s">
        <v>40</v>
      </c>
      <c r="B35">
        <v>33.345014070160602</v>
      </c>
      <c r="C35">
        <v>45.181504598818698</v>
      </c>
      <c r="D35">
        <v>1.6910153394378701E-2</v>
      </c>
      <c r="E35">
        <v>62.396702310070303</v>
      </c>
      <c r="F35">
        <v>138.005584185011</v>
      </c>
      <c r="G35">
        <v>5.87261789478361E-4</v>
      </c>
    </row>
    <row r="36" spans="1:7" x14ac:dyDescent="0.2">
      <c r="A36" t="s">
        <v>41</v>
      </c>
      <c r="B36">
        <v>17.965834881178999</v>
      </c>
      <c r="C36">
        <v>30.077484808862199</v>
      </c>
      <c r="D36">
        <v>1.75511709880083E-3</v>
      </c>
      <c r="E36">
        <v>148.952450137585</v>
      </c>
      <c r="F36">
        <v>42.997042457573102</v>
      </c>
      <c r="G36">
        <v>4.9615240609273302E-3</v>
      </c>
    </row>
    <row r="37" spans="1:7" x14ac:dyDescent="0.2">
      <c r="A37" t="s">
        <v>42</v>
      </c>
      <c r="B37">
        <v>43.859001311007802</v>
      </c>
      <c r="C37">
        <v>13.943161061964901</v>
      </c>
      <c r="D37">
        <v>8.0787237172201196E-2</v>
      </c>
      <c r="E37">
        <v>82.341723237186599</v>
      </c>
      <c r="F37">
        <v>227.739140829071</v>
      </c>
      <c r="G37">
        <v>2.2370303282514201E-3</v>
      </c>
    </row>
    <row r="38" spans="1:7" x14ac:dyDescent="0.2">
      <c r="A38" t="s">
        <v>43</v>
      </c>
      <c r="B38">
        <v>47.906381938606501</v>
      </c>
      <c r="C38">
        <v>79.386725961230695</v>
      </c>
      <c r="D38">
        <v>3.1457139092963098E-2</v>
      </c>
      <c r="E38">
        <v>29.6673806849867</v>
      </c>
      <c r="F38">
        <v>146.031529186293</v>
      </c>
      <c r="G38">
        <v>3.6538142710924098E-3</v>
      </c>
    </row>
    <row r="39" spans="1:7" x14ac:dyDescent="0.2">
      <c r="A39" t="s">
        <v>44</v>
      </c>
      <c r="B39">
        <v>7.8086779820732701</v>
      </c>
      <c r="C39">
        <v>62.927644428797002</v>
      </c>
      <c r="D39">
        <v>9.7141370366048002E-2</v>
      </c>
      <c r="E39">
        <v>102.63036126270801</v>
      </c>
      <c r="F39">
        <v>141.32700330112101</v>
      </c>
      <c r="G39">
        <v>3.06092491373419E-4</v>
      </c>
    </row>
    <row r="40" spans="1:7" x14ac:dyDescent="0.2">
      <c r="A40" t="s">
        <v>45</v>
      </c>
      <c r="B40">
        <v>26.134671105071899</v>
      </c>
      <c r="C40">
        <v>23.5067937588319</v>
      </c>
      <c r="D40">
        <v>6.4033886117581207E-2</v>
      </c>
      <c r="E40">
        <v>40.580690419301298</v>
      </c>
      <c r="F40">
        <v>225.78904836904201</v>
      </c>
      <c r="G40">
        <v>2.3265310563147E-4</v>
      </c>
    </row>
    <row r="41" spans="1:7" x14ac:dyDescent="0.2">
      <c r="A41" t="s">
        <v>46</v>
      </c>
      <c r="B41">
        <v>12.296090383548201</v>
      </c>
      <c r="C41">
        <v>82.699699819087897</v>
      </c>
      <c r="D41">
        <v>7.1380651046056301E-2</v>
      </c>
      <c r="E41">
        <v>1.80301051586866</v>
      </c>
      <c r="F41">
        <v>209.23470583278601</v>
      </c>
      <c r="G41">
        <v>3.33435576874762E-3</v>
      </c>
    </row>
    <row r="42" spans="1:7" x14ac:dyDescent="0.2">
      <c r="A42" t="s">
        <v>47</v>
      </c>
      <c r="B42">
        <v>19.518200078047801</v>
      </c>
      <c r="C42">
        <v>57.920678099617298</v>
      </c>
      <c r="D42">
        <v>3.52822865130379E-2</v>
      </c>
      <c r="E42">
        <v>27.1920093800872</v>
      </c>
      <c r="F42">
        <v>361.67504603043199</v>
      </c>
      <c r="G42">
        <v>4.4679916091263198E-3</v>
      </c>
    </row>
    <row r="43" spans="1:7" x14ac:dyDescent="0.2">
      <c r="A43" t="s">
        <v>48</v>
      </c>
      <c r="B43">
        <v>45.275966530665698</v>
      </c>
      <c r="C43">
        <v>49.859586136415601</v>
      </c>
      <c r="D43">
        <v>9.9961235341522806E-2</v>
      </c>
      <c r="E43">
        <v>0.86875520646572102</v>
      </c>
      <c r="F43">
        <v>431.14784949459101</v>
      </c>
      <c r="G43">
        <v>3.2519005518406598E-3</v>
      </c>
    </row>
    <row r="44" spans="1:7" x14ac:dyDescent="0.2">
      <c r="A44" t="s">
        <v>49</v>
      </c>
      <c r="B44">
        <v>28.425510562025</v>
      </c>
      <c r="C44">
        <v>27.114491224288901</v>
      </c>
      <c r="D44">
        <v>7.8879508521128405E-2</v>
      </c>
      <c r="E44">
        <v>54.062889190390699</v>
      </c>
      <c r="F44">
        <v>467.959053888916</v>
      </c>
      <c r="G44">
        <v>7.1588319260626997E-4</v>
      </c>
    </row>
    <row r="45" spans="1:7" x14ac:dyDescent="0.2">
      <c r="A45" t="s">
        <v>50</v>
      </c>
      <c r="B45">
        <v>30.7370263552293</v>
      </c>
      <c r="C45">
        <v>1.3103950005024601</v>
      </c>
      <c r="D45">
        <v>3.6674820963479501E-2</v>
      </c>
      <c r="E45">
        <v>74.7148213908076</v>
      </c>
      <c r="F45">
        <v>56.083607459440799</v>
      </c>
      <c r="G45">
        <v>4.5714255422353703E-4</v>
      </c>
    </row>
    <row r="46" spans="1:7" x14ac:dyDescent="0.2">
      <c r="A46" t="s">
        <v>51</v>
      </c>
      <c r="B46">
        <v>22.013790519908</v>
      </c>
      <c r="C46">
        <v>16.1340382937341</v>
      </c>
      <c r="D46">
        <v>7.1393290264531897E-4</v>
      </c>
      <c r="E46">
        <v>75.725664803758207</v>
      </c>
      <c r="F46">
        <v>204.344544247724</v>
      </c>
      <c r="G46">
        <v>4.3219343386590404E-3</v>
      </c>
    </row>
    <row r="47" spans="1:7" x14ac:dyDescent="0.2">
      <c r="A47" t="s">
        <v>52</v>
      </c>
      <c r="B47">
        <v>13.2541909124702</v>
      </c>
      <c r="C47">
        <v>92.298919679597006</v>
      </c>
      <c r="D47">
        <v>3.39801555754616E-2</v>
      </c>
      <c r="E47">
        <v>90.753491688519702</v>
      </c>
      <c r="F47">
        <v>126.954097840934</v>
      </c>
      <c r="G47">
        <v>4.4811808597296403E-3</v>
      </c>
    </row>
    <row r="48" spans="1:7" x14ac:dyDescent="0.2">
      <c r="A48" t="s">
        <v>53</v>
      </c>
      <c r="B48">
        <v>25.600842951331199</v>
      </c>
      <c r="C48">
        <v>7.7482299432158399</v>
      </c>
      <c r="D48">
        <v>5.1052691584080399E-2</v>
      </c>
      <c r="E48">
        <v>66.092241788282905</v>
      </c>
      <c r="F48">
        <v>311.23985595535402</v>
      </c>
      <c r="G48">
        <v>4.8543278733268304E-3</v>
      </c>
    </row>
    <row r="49" spans="1:7" x14ac:dyDescent="0.2">
      <c r="A49" t="s">
        <v>54</v>
      </c>
      <c r="B49">
        <v>39.808082610834298</v>
      </c>
      <c r="C49">
        <v>7.0910937804728702</v>
      </c>
      <c r="D49">
        <v>7.5691177978180297E-3</v>
      </c>
      <c r="E49">
        <v>104.30042026564399</v>
      </c>
      <c r="F49">
        <v>233.23574335314299</v>
      </c>
      <c r="G49">
        <v>1.0697129787877199E-3</v>
      </c>
    </row>
    <row r="50" spans="1:7" x14ac:dyDescent="0.2">
      <c r="A50" t="s">
        <v>55</v>
      </c>
      <c r="B50">
        <v>47.132566783577197</v>
      </c>
      <c r="C50">
        <v>43.316315736621597</v>
      </c>
      <c r="D50">
        <v>9.6366220011562101E-2</v>
      </c>
      <c r="E50">
        <v>118.932419177144</v>
      </c>
      <c r="F50">
        <v>127.645791023969</v>
      </c>
      <c r="G50">
        <v>2.59017386939376E-3</v>
      </c>
    </row>
    <row r="51" spans="1:7" x14ac:dyDescent="0.2">
      <c r="A51" t="s">
        <v>56</v>
      </c>
      <c r="B51">
        <v>20.394532484468002</v>
      </c>
      <c r="C51">
        <v>70.509633964858907</v>
      </c>
      <c r="D51">
        <v>9.0359607110451906E-2</v>
      </c>
      <c r="E51">
        <v>46.914121136069298</v>
      </c>
      <c r="F51">
        <v>134.17696661315799</v>
      </c>
      <c r="G51">
        <v>4.6459248429164199E-3</v>
      </c>
    </row>
    <row r="52" spans="1:7" x14ac:dyDescent="0.2">
      <c r="A52" t="s">
        <v>57</v>
      </c>
      <c r="B52">
        <v>20.100188283715301</v>
      </c>
      <c r="C52">
        <v>82.574472509324494</v>
      </c>
      <c r="D52">
        <v>9.4897133877500893E-3</v>
      </c>
      <c r="E52">
        <v>117.997387284412</v>
      </c>
      <c r="F52">
        <v>85.885706511326106</v>
      </c>
      <c r="G52">
        <v>5.0887192133814102E-4</v>
      </c>
    </row>
    <row r="53" spans="1:7" x14ac:dyDescent="0.2">
      <c r="A53" t="s">
        <v>58</v>
      </c>
      <c r="B53">
        <v>10.5281370882876</v>
      </c>
      <c r="C53">
        <v>68.275084469467402</v>
      </c>
      <c r="D53">
        <v>5.1219802227150599E-2</v>
      </c>
      <c r="E53">
        <v>8.3945022895932198</v>
      </c>
      <c r="F53">
        <v>306.810453524813</v>
      </c>
      <c r="G53">
        <v>1.4586575794965E-4</v>
      </c>
    </row>
    <row r="54" spans="1:7" x14ac:dyDescent="0.2">
      <c r="A54" t="s">
        <v>59</v>
      </c>
      <c r="B54">
        <v>9.6050321157090295</v>
      </c>
      <c r="C54">
        <v>47.903322389349299</v>
      </c>
      <c r="D54">
        <v>4.1489244377054202E-2</v>
      </c>
      <c r="E54">
        <v>52.872815402224603</v>
      </c>
      <c r="F54">
        <v>379.60788672789897</v>
      </c>
      <c r="G54">
        <v>3.0845158779993602E-3</v>
      </c>
    </row>
    <row r="55" spans="1:7" x14ac:dyDescent="0.2">
      <c r="A55" t="s">
        <v>60</v>
      </c>
      <c r="B55">
        <v>11.2720237737521</v>
      </c>
      <c r="C55">
        <v>22.827928786166002</v>
      </c>
      <c r="D55">
        <v>8.6026515098381703E-2</v>
      </c>
      <c r="E55">
        <v>19.763596169650501</v>
      </c>
      <c r="F55">
        <v>61.247305255383203</v>
      </c>
      <c r="G55">
        <v>1.40173074789345E-3</v>
      </c>
    </row>
    <row r="56" spans="1:7" x14ac:dyDescent="0.2">
      <c r="A56" t="s">
        <v>61</v>
      </c>
      <c r="B56">
        <v>36.4405651693232</v>
      </c>
      <c r="C56">
        <v>78.905433854088102</v>
      </c>
      <c r="D56">
        <v>8.61529918339103E-2</v>
      </c>
      <c r="E56">
        <v>94.084554724395204</v>
      </c>
      <c r="F56">
        <v>83.958188686519804</v>
      </c>
      <c r="G56">
        <v>4.4201497081667101E-3</v>
      </c>
    </row>
    <row r="57" spans="1:7" x14ac:dyDescent="0.2">
      <c r="A57" t="s">
        <v>62</v>
      </c>
      <c r="B57">
        <v>37.499232116155298</v>
      </c>
      <c r="C57">
        <v>16.6936471657827</v>
      </c>
      <c r="D57">
        <v>5.7142096188105597E-2</v>
      </c>
      <c r="E57">
        <v>32.250654883682699</v>
      </c>
      <c r="F57">
        <v>498.01866178400797</v>
      </c>
      <c r="G57">
        <v>2.6056952634826301E-3</v>
      </c>
    </row>
    <row r="58" spans="1:7" x14ac:dyDescent="0.2">
      <c r="A58" t="s">
        <v>63</v>
      </c>
      <c r="B58">
        <v>23.927384872920801</v>
      </c>
      <c r="C58">
        <v>50.929562680423203</v>
      </c>
      <c r="D58">
        <v>9.1966424249950801E-2</v>
      </c>
      <c r="E58">
        <v>15.922861732542501</v>
      </c>
      <c r="F58">
        <v>275.21091158967403</v>
      </c>
      <c r="G58">
        <v>3.5550107667222598E-3</v>
      </c>
    </row>
    <row r="59" spans="1:7" x14ac:dyDescent="0.2">
      <c r="A59" t="s">
        <v>64</v>
      </c>
      <c r="B59">
        <v>7.2085599377751297</v>
      </c>
      <c r="C59">
        <v>29.630021870136201</v>
      </c>
      <c r="D59">
        <v>1.6544571131188401E-2</v>
      </c>
      <c r="E59">
        <v>67.556426441296907</v>
      </c>
      <c r="F59">
        <v>445.48585456330301</v>
      </c>
      <c r="G59">
        <v>2.87022203672677E-3</v>
      </c>
    </row>
    <row r="60" spans="1:7" x14ac:dyDescent="0.2">
      <c r="A60" t="s">
        <v>65</v>
      </c>
      <c r="B60">
        <v>17.998969177249801</v>
      </c>
      <c r="C60">
        <v>60.984042820520699</v>
      </c>
      <c r="D60">
        <v>8.6281303207948801E-2</v>
      </c>
      <c r="E60">
        <v>77.398290624842005</v>
      </c>
      <c r="F60">
        <v>314.69694872852398</v>
      </c>
      <c r="G60">
        <v>1.78155586123466E-3</v>
      </c>
    </row>
    <row r="61" spans="1:7" x14ac:dyDescent="0.2">
      <c r="A61" t="s">
        <v>66</v>
      </c>
      <c r="B61">
        <v>18.2053310507908</v>
      </c>
      <c r="C61">
        <v>4.6285458486527196</v>
      </c>
      <c r="D61">
        <v>1.5885810768511099E-2</v>
      </c>
      <c r="E61">
        <v>20.626897271722498</v>
      </c>
      <c r="F61">
        <v>96.513176541775394</v>
      </c>
      <c r="G61">
        <v>3.7087299954146101E-3</v>
      </c>
    </row>
    <row r="62" spans="1:7" x14ac:dyDescent="0.2">
      <c r="A62" t="s">
        <v>67</v>
      </c>
      <c r="B62">
        <v>3.3993714819662202</v>
      </c>
      <c r="C62">
        <v>43.127583096735101</v>
      </c>
      <c r="D62">
        <v>2.2620034637860901E-3</v>
      </c>
      <c r="E62">
        <v>35.272329859435501</v>
      </c>
      <c r="F62">
        <v>100.378609676845</v>
      </c>
      <c r="G62">
        <v>2.8500985773280202E-3</v>
      </c>
    </row>
    <row r="63" spans="1:7" x14ac:dyDescent="0.2">
      <c r="A63" t="s">
        <v>68</v>
      </c>
      <c r="B63">
        <v>2.0999043677002098</v>
      </c>
      <c r="C63">
        <v>77.025819879025207</v>
      </c>
      <c r="D63">
        <v>9.81638133190572E-2</v>
      </c>
      <c r="E63">
        <v>35.954692633822503</v>
      </c>
      <c r="F63">
        <v>335.70082287304098</v>
      </c>
      <c r="G63">
        <v>1.5491485362872401E-3</v>
      </c>
    </row>
    <row r="64" spans="1:7" x14ac:dyDescent="0.2">
      <c r="A64" t="s">
        <v>69</v>
      </c>
      <c r="B64">
        <v>8.1639833664521504</v>
      </c>
      <c r="C64">
        <v>11.2701344387605</v>
      </c>
      <c r="D64">
        <v>2.63107709676027E-2</v>
      </c>
      <c r="E64">
        <v>4.3996605556458199</v>
      </c>
      <c r="F64">
        <v>353.77846771851102</v>
      </c>
      <c r="G64">
        <v>3.26541533228009E-3</v>
      </c>
    </row>
    <row r="65" spans="1:7" x14ac:dyDescent="0.2">
      <c r="A65" t="s">
        <v>70</v>
      </c>
      <c r="B65">
        <v>6.3433881779201302</v>
      </c>
      <c r="C65">
        <v>98.105801588855599</v>
      </c>
      <c r="D65">
        <v>4.7409939181525203E-2</v>
      </c>
      <c r="E65">
        <v>44.298637099563997</v>
      </c>
      <c r="F65">
        <v>283.76569197047502</v>
      </c>
      <c r="G65">
        <v>1.1076798848807801E-3</v>
      </c>
    </row>
    <row r="66" spans="1:7" x14ac:dyDescent="0.2">
      <c r="A66" t="s">
        <v>71</v>
      </c>
      <c r="B66">
        <v>1.05129004269838</v>
      </c>
      <c r="C66">
        <v>99.820484410971403</v>
      </c>
      <c r="D66">
        <v>2.86707744361832E-2</v>
      </c>
      <c r="E66">
        <v>59.665435552597003</v>
      </c>
      <c r="F66">
        <v>150.20770977716799</v>
      </c>
      <c r="G66">
        <v>1.38905285857617E-4</v>
      </c>
    </row>
    <row r="67" spans="1:7" x14ac:dyDescent="0.2">
      <c r="A67" t="s">
        <v>72</v>
      </c>
      <c r="B67">
        <v>3.9439103878103099</v>
      </c>
      <c r="C67">
        <v>23.973553431220299</v>
      </c>
      <c r="D67">
        <v>1.99537979345768E-2</v>
      </c>
      <c r="E67">
        <v>54.343166481703499</v>
      </c>
      <c r="F67">
        <v>15.3305170871317</v>
      </c>
      <c r="G67">
        <v>7.5512327253818496E-4</v>
      </c>
    </row>
    <row r="68" spans="1:7" x14ac:dyDescent="0.2">
      <c r="A68" t="s">
        <v>73</v>
      </c>
      <c r="B68">
        <v>2.2352770534344</v>
      </c>
      <c r="C68">
        <v>27.207414461299699</v>
      </c>
      <c r="D68">
        <v>8.7808336692489594E-2</v>
      </c>
      <c r="E68">
        <v>109.859102452173</v>
      </c>
      <c r="F68">
        <v>194.99011416919501</v>
      </c>
      <c r="G68">
        <v>2.3782039014622501E-3</v>
      </c>
    </row>
    <row r="69" spans="1:7" x14ac:dyDescent="0.2">
      <c r="A69" t="s">
        <v>74</v>
      </c>
      <c r="B69">
        <v>10.205781920812999</v>
      </c>
      <c r="C69">
        <v>25.569483201019398</v>
      </c>
      <c r="D69">
        <v>4.6276503529399597E-2</v>
      </c>
      <c r="E69">
        <v>99.280483508482504</v>
      </c>
      <c r="F69">
        <v>104.407997322268</v>
      </c>
      <c r="G69">
        <v>4.4070247141644297E-3</v>
      </c>
    </row>
    <row r="70" spans="1:7" x14ac:dyDescent="0.2">
      <c r="A70" t="s">
        <v>75</v>
      </c>
      <c r="B70">
        <v>49.862291587982298</v>
      </c>
      <c r="C70">
        <v>58.444257335737298</v>
      </c>
      <c r="D70">
        <v>8.4950096799433203E-2</v>
      </c>
      <c r="E70">
        <v>38.435083720832999</v>
      </c>
      <c r="F70">
        <v>109.163427478633</v>
      </c>
      <c r="G70">
        <v>6.2023151200264596E-4</v>
      </c>
    </row>
    <row r="71" spans="1:7" x14ac:dyDescent="0.2">
      <c r="A71" t="s">
        <v>76</v>
      </c>
      <c r="B71">
        <v>12.010294361971299</v>
      </c>
      <c r="C71">
        <v>20.584808199666401</v>
      </c>
      <c r="D71">
        <v>9.6880583558883501E-2</v>
      </c>
      <c r="E71">
        <v>87.037062831222997</v>
      </c>
      <c r="F71">
        <v>371.32263469975402</v>
      </c>
      <c r="G71">
        <v>4.0160007309168501E-3</v>
      </c>
    </row>
    <row r="72" spans="1:7" x14ac:dyDescent="0.2">
      <c r="A72" t="s">
        <v>77</v>
      </c>
      <c r="B72">
        <v>13.641078482381999</v>
      </c>
      <c r="C72">
        <v>40.0158291123807</v>
      </c>
      <c r="D72">
        <v>8.4707390263676595E-3</v>
      </c>
      <c r="E72">
        <v>134.74252447485901</v>
      </c>
      <c r="F72">
        <v>119.86951847095</v>
      </c>
      <c r="G72">
        <v>9.9230026360601093E-4</v>
      </c>
    </row>
    <row r="73" spans="1:7" x14ac:dyDescent="0.2">
      <c r="A73" t="s">
        <v>78</v>
      </c>
      <c r="B73">
        <v>0.54089480265974998</v>
      </c>
      <c r="C73">
        <v>55.105896411463597</v>
      </c>
      <c r="D73">
        <v>3.4952824178151702E-2</v>
      </c>
      <c r="E73">
        <v>129.87172007560699</v>
      </c>
      <c r="F73">
        <v>74.9323198711499</v>
      </c>
      <c r="G73">
        <v>6.3545953016728096E-4</v>
      </c>
    </row>
    <row r="74" spans="1:7" x14ac:dyDescent="0.2">
      <c r="A74" t="s">
        <v>79</v>
      </c>
      <c r="B74">
        <v>40.160802865400903</v>
      </c>
      <c r="C74">
        <v>36.260382045991697</v>
      </c>
      <c r="D74">
        <v>7.4303456091321995E-2</v>
      </c>
      <c r="E74">
        <v>67.989759938791394</v>
      </c>
      <c r="F74">
        <v>325.39558636024498</v>
      </c>
      <c r="G74">
        <v>4.7459044493734797E-4</v>
      </c>
    </row>
    <row r="75" spans="1:7" x14ac:dyDescent="0.2">
      <c r="A75" t="s">
        <v>80</v>
      </c>
      <c r="B75">
        <v>48.529223364312202</v>
      </c>
      <c r="C75">
        <v>3.0885129878297399</v>
      </c>
      <c r="D75">
        <v>2.6510107851587202E-2</v>
      </c>
      <c r="E75">
        <v>129.31029838509801</v>
      </c>
      <c r="F75">
        <v>111.287818634882</v>
      </c>
      <c r="G75">
        <v>1.33291392121464E-3</v>
      </c>
    </row>
    <row r="76" spans="1:7" x14ac:dyDescent="0.2">
      <c r="A76" t="s">
        <v>81</v>
      </c>
      <c r="B76">
        <v>32.4371707956306</v>
      </c>
      <c r="C76">
        <v>33.610178750008302</v>
      </c>
      <c r="D76">
        <v>5.1615221765637397E-2</v>
      </c>
      <c r="E76">
        <v>57.447130791842902</v>
      </c>
      <c r="F76">
        <v>77.213291223160894</v>
      </c>
      <c r="G76">
        <v>3.7756228214129799E-3</v>
      </c>
    </row>
    <row r="77" spans="1:7" x14ac:dyDescent="0.2">
      <c r="A77" t="s">
        <v>82</v>
      </c>
      <c r="B77">
        <v>48.460772606544197</v>
      </c>
      <c r="C77">
        <v>22.365368681959801</v>
      </c>
      <c r="D77">
        <v>7.3283906841184895E-2</v>
      </c>
      <c r="E77">
        <v>6.4508945681154701</v>
      </c>
      <c r="F77">
        <v>406.93292568437698</v>
      </c>
      <c r="G77">
        <v>1.15259418729692E-3</v>
      </c>
    </row>
    <row r="78" spans="1:7" x14ac:dyDescent="0.2">
      <c r="A78" t="s">
        <v>83</v>
      </c>
      <c r="B78">
        <v>5.4275634372606802</v>
      </c>
      <c r="C78">
        <v>35.296490145847201</v>
      </c>
      <c r="D78">
        <v>1.09698192400857E-2</v>
      </c>
      <c r="E78">
        <v>0.58741886168718305</v>
      </c>
      <c r="F78">
        <v>232.03456660732601</v>
      </c>
      <c r="G78">
        <v>5.5577374063432196E-4</v>
      </c>
    </row>
    <row r="79" spans="1:7" x14ac:dyDescent="0.2">
      <c r="A79" t="s">
        <v>84</v>
      </c>
      <c r="B79">
        <v>26.549839513841999</v>
      </c>
      <c r="C79">
        <v>39.252277396619299</v>
      </c>
      <c r="D79">
        <v>2.2176475375238799E-2</v>
      </c>
      <c r="E79">
        <v>37.773181311786097</v>
      </c>
      <c r="F79">
        <v>477.21885415725399</v>
      </c>
      <c r="G79">
        <v>2.3724433965981E-3</v>
      </c>
    </row>
    <row r="80" spans="1:7" x14ac:dyDescent="0.2">
      <c r="A80" t="s">
        <v>85</v>
      </c>
      <c r="B80">
        <v>41.925842657219597</v>
      </c>
      <c r="C80">
        <v>20.637263339944099</v>
      </c>
      <c r="D80">
        <v>2.7871410277206399E-2</v>
      </c>
      <c r="E80">
        <v>2.1783448755741099E-2</v>
      </c>
      <c r="F80">
        <v>133.447833629325</v>
      </c>
      <c r="G80">
        <v>2.7378292288631201E-3</v>
      </c>
    </row>
    <row r="81" spans="1:7" x14ac:dyDescent="0.2">
      <c r="A81" t="s">
        <v>86</v>
      </c>
      <c r="B81">
        <v>38.397056883201003</v>
      </c>
      <c r="C81">
        <v>42.777308979071599</v>
      </c>
      <c r="D81">
        <v>2.2772382784727901E-2</v>
      </c>
      <c r="E81">
        <v>140.478063561022</v>
      </c>
      <c r="F81">
        <v>17.983155520632799</v>
      </c>
      <c r="G81">
        <v>2.36348914913833E-4</v>
      </c>
    </row>
    <row r="82" spans="1:7" x14ac:dyDescent="0.2">
      <c r="A82" t="s">
        <v>87</v>
      </c>
      <c r="B82">
        <v>42.671509742736802</v>
      </c>
      <c r="C82">
        <v>63.506116321310401</v>
      </c>
      <c r="D82">
        <v>4.6224740818142799E-3</v>
      </c>
      <c r="E82">
        <v>52.695546671748097</v>
      </c>
      <c r="F82">
        <v>175.646887701004</v>
      </c>
      <c r="G82">
        <v>5.2468338981270703E-4</v>
      </c>
    </row>
    <row r="83" spans="1:7" x14ac:dyDescent="0.2">
      <c r="A83" t="s">
        <v>88</v>
      </c>
      <c r="B83">
        <v>40.977288659196297</v>
      </c>
      <c r="C83">
        <v>26.279411775059899</v>
      </c>
      <c r="D83">
        <v>9.88920822817832E-2</v>
      </c>
      <c r="E83">
        <v>28.5346514079719</v>
      </c>
      <c r="F83">
        <v>168.70377176906899</v>
      </c>
      <c r="G83">
        <v>2.7099255006760302E-4</v>
      </c>
    </row>
    <row r="84" spans="1:7" x14ac:dyDescent="0.2">
      <c r="A84" t="s">
        <v>89</v>
      </c>
      <c r="B84">
        <v>36.231671319808797</v>
      </c>
      <c r="C84">
        <v>25.042774941772201</v>
      </c>
      <c r="D84">
        <v>7.6722878603264696E-3</v>
      </c>
      <c r="E84">
        <v>25.782262114807899</v>
      </c>
      <c r="F84">
        <v>37.400729949586001</v>
      </c>
      <c r="G84">
        <v>4.5316704874858197E-3</v>
      </c>
    </row>
    <row r="85" spans="1:7" x14ac:dyDescent="0.2">
      <c r="A85" t="s">
        <v>90</v>
      </c>
      <c r="B85">
        <v>18.477358107455</v>
      </c>
      <c r="C85">
        <v>48.558918980881501</v>
      </c>
      <c r="D85">
        <v>5.7246399001963398E-2</v>
      </c>
      <c r="E85">
        <v>11.4612010773271</v>
      </c>
      <c r="F85">
        <v>145.03100688103501</v>
      </c>
      <c r="G85">
        <v>1.17322049569338E-3</v>
      </c>
    </row>
    <row r="86" spans="1:7" x14ac:dyDescent="0.2">
      <c r="A86" t="s">
        <v>91</v>
      </c>
      <c r="B86">
        <v>31.3514704885892</v>
      </c>
      <c r="C86">
        <v>11.161920598708001</v>
      </c>
      <c r="D86">
        <v>9.16846509794704E-2</v>
      </c>
      <c r="E86">
        <v>98.271721741184507</v>
      </c>
      <c r="F86">
        <v>342.43044819682802</v>
      </c>
      <c r="G86">
        <v>7.4356147553771696E-4</v>
      </c>
    </row>
    <row r="87" spans="1:7" x14ac:dyDescent="0.2">
      <c r="A87" t="s">
        <v>92</v>
      </c>
      <c r="B87">
        <v>44.410320304799797</v>
      </c>
      <c r="C87">
        <v>10.0071182725951</v>
      </c>
      <c r="D87">
        <v>9.4897281366307207E-2</v>
      </c>
      <c r="E87">
        <v>137.08215253427599</v>
      </c>
      <c r="F87">
        <v>40.513260741718099</v>
      </c>
      <c r="G87">
        <v>4.4861922040581701E-4</v>
      </c>
    </row>
    <row r="88" spans="1:7" x14ac:dyDescent="0.2">
      <c r="A88" t="s">
        <v>93</v>
      </c>
      <c r="B88">
        <v>15.6341351969167</v>
      </c>
      <c r="C88">
        <v>80.690367887727902</v>
      </c>
      <c r="D88">
        <v>2.42162842292338E-2</v>
      </c>
      <c r="E88">
        <v>18.9446331001818</v>
      </c>
      <c r="F88">
        <v>428.27035770285801</v>
      </c>
      <c r="G88">
        <v>6.5411907155066696E-4</v>
      </c>
    </row>
    <row r="89" spans="1:7" x14ac:dyDescent="0.2">
      <c r="A89" t="s">
        <v>94</v>
      </c>
      <c r="B89">
        <v>6.5281111835501999</v>
      </c>
      <c r="C89">
        <v>5.7404331574216396</v>
      </c>
      <c r="D89">
        <v>7.1463713585864702E-2</v>
      </c>
      <c r="E89">
        <v>116.61991621367601</v>
      </c>
      <c r="F89">
        <v>322.69670014269599</v>
      </c>
      <c r="G89">
        <v>9.9585513118654397E-4</v>
      </c>
    </row>
    <row r="90" spans="1:7" x14ac:dyDescent="0.2">
      <c r="A90" t="s">
        <v>95</v>
      </c>
      <c r="B90">
        <v>48.925471127033198</v>
      </c>
      <c r="C90">
        <v>8.7836374063044698</v>
      </c>
      <c r="D90">
        <v>4.0885331043880403E-2</v>
      </c>
      <c r="E90">
        <v>46.547495713457401</v>
      </c>
      <c r="F90">
        <v>470.962029630318</v>
      </c>
      <c r="G90">
        <v>2.7970202546566702E-3</v>
      </c>
    </row>
    <row r="91" spans="1:7" x14ac:dyDescent="0.2">
      <c r="A91" t="s">
        <v>96</v>
      </c>
      <c r="B91">
        <v>3.4814706519246101</v>
      </c>
      <c r="C91">
        <v>34.058334763161803</v>
      </c>
      <c r="D91">
        <v>3.8161757004074703E-2</v>
      </c>
      <c r="E91">
        <v>94.017461780458603</v>
      </c>
      <c r="F91">
        <v>337.365494216792</v>
      </c>
      <c r="G91">
        <v>4.0399685967713498E-4</v>
      </c>
    </row>
    <row r="92" spans="1:7" x14ac:dyDescent="0.2">
      <c r="A92" t="s">
        <v>97</v>
      </c>
      <c r="B92">
        <v>23.785210616420901</v>
      </c>
      <c r="C92">
        <v>6.2244881577789704</v>
      </c>
      <c r="D92">
        <v>4.2549140043836003E-2</v>
      </c>
      <c r="E92">
        <v>125.964378425851</v>
      </c>
      <c r="F92">
        <v>22.781567280180699</v>
      </c>
      <c r="G92">
        <v>2.4006165610626299E-3</v>
      </c>
    </row>
    <row r="93" spans="1:7" x14ac:dyDescent="0.2">
      <c r="A93" t="s">
        <v>98</v>
      </c>
      <c r="B93">
        <v>47.547403222881201</v>
      </c>
      <c r="C93">
        <v>31.338390403427098</v>
      </c>
      <c r="D93">
        <v>1.48224549766629E-2</v>
      </c>
      <c r="E93">
        <v>83.516165195032897</v>
      </c>
      <c r="F93">
        <v>24.8971468396484</v>
      </c>
      <c r="G93">
        <v>9.5060333609580999E-4</v>
      </c>
    </row>
    <row r="94" spans="1:7" x14ac:dyDescent="0.2">
      <c r="A94" t="s">
        <v>99</v>
      </c>
      <c r="B94">
        <v>6.6417771414853597</v>
      </c>
      <c r="C94">
        <v>94.138039280660394</v>
      </c>
      <c r="D94">
        <v>8.9506206292752105E-2</v>
      </c>
      <c r="E94">
        <v>0.25358204729855</v>
      </c>
      <c r="F94">
        <v>482.659591934643</v>
      </c>
      <c r="G94">
        <v>3.80436515435576E-3</v>
      </c>
    </row>
    <row r="95" spans="1:7" x14ac:dyDescent="0.2">
      <c r="A95" t="s">
        <v>100</v>
      </c>
      <c r="B95">
        <v>41.636458912864299</v>
      </c>
      <c r="C95">
        <v>46.244092897511997</v>
      </c>
      <c r="D95">
        <v>6.8549891095981003E-2</v>
      </c>
      <c r="E95">
        <v>65.502728288993197</v>
      </c>
      <c r="F95">
        <v>307.320180097594</v>
      </c>
      <c r="G95">
        <v>4.1508085373788998E-3</v>
      </c>
    </row>
    <row r="96" spans="1:7" x14ac:dyDescent="0.2">
      <c r="A96" t="s">
        <v>101</v>
      </c>
      <c r="B96">
        <v>0.99035928538069096</v>
      </c>
      <c r="C96">
        <v>52.1676410753279</v>
      </c>
      <c r="D96">
        <v>6.7890153210610103E-4</v>
      </c>
      <c r="E96">
        <v>21.423345711082199</v>
      </c>
      <c r="F96">
        <v>450.095803486183</v>
      </c>
      <c r="G96">
        <v>3.7838373612612401E-3</v>
      </c>
    </row>
    <row r="97" spans="1:7" x14ac:dyDescent="0.2">
      <c r="A97" t="s">
        <v>102</v>
      </c>
      <c r="B97">
        <v>23.536977071315</v>
      </c>
      <c r="C97">
        <v>29.864713817834801</v>
      </c>
      <c r="D97">
        <v>2.3737139433249801E-2</v>
      </c>
      <c r="E97">
        <v>42.180374963208997</v>
      </c>
      <c r="F97">
        <v>256.88781354576298</v>
      </c>
      <c r="G97">
        <v>1.6092785494401999E-3</v>
      </c>
    </row>
    <row r="98" spans="1:7" x14ac:dyDescent="0.2">
      <c r="A98" t="s">
        <v>103</v>
      </c>
      <c r="B98">
        <v>44.747290288563804</v>
      </c>
      <c r="C98">
        <v>48.2573442906141</v>
      </c>
      <c r="D98">
        <v>2.3481497596669901E-2</v>
      </c>
      <c r="E98">
        <v>105.310446722432</v>
      </c>
      <c r="F98">
        <v>186.74703386146501</v>
      </c>
      <c r="G98">
        <v>3.6953602312132698E-3</v>
      </c>
    </row>
    <row r="99" spans="1:7" x14ac:dyDescent="0.2">
      <c r="A99" t="s">
        <v>104</v>
      </c>
      <c r="B99">
        <v>15.163983682636101</v>
      </c>
      <c r="C99">
        <v>32.076330266892903</v>
      </c>
      <c r="D99">
        <v>9.9666338437236796E-2</v>
      </c>
      <c r="E99">
        <v>40.0104818399995</v>
      </c>
      <c r="F99">
        <v>81.846175682730902</v>
      </c>
      <c r="G99">
        <v>3.0408129189163401E-3</v>
      </c>
    </row>
    <row r="100" spans="1:7" x14ac:dyDescent="0.2">
      <c r="A100" t="s">
        <v>105</v>
      </c>
      <c r="B100">
        <v>34.281311982311301</v>
      </c>
      <c r="C100">
        <v>1.6379446303471901</v>
      </c>
      <c r="D100">
        <v>5.6709847856219797E-2</v>
      </c>
      <c r="E100">
        <v>53.189776372164403</v>
      </c>
      <c r="F100">
        <v>104.58471301943</v>
      </c>
      <c r="G100">
        <v>3.1228571943938701E-3</v>
      </c>
    </row>
    <row r="101" spans="1:7" x14ac:dyDescent="0.2">
      <c r="A101" t="s">
        <v>106</v>
      </c>
      <c r="B101">
        <v>49.844862476456903</v>
      </c>
      <c r="C101">
        <v>25.5092894518747</v>
      </c>
      <c r="D101">
        <v>2.88915722830221E-2</v>
      </c>
      <c r="E101">
        <v>72.063913056626902</v>
      </c>
      <c r="F101">
        <v>22.005135426297699</v>
      </c>
      <c r="G101">
        <v>2.4284987570717901E-3</v>
      </c>
    </row>
    <row r="102" spans="1:7" x14ac:dyDescent="0.2">
      <c r="A102" t="s">
        <v>107</v>
      </c>
      <c r="B102">
        <v>4.9253279338590801</v>
      </c>
      <c r="C102">
        <v>66.942312395200105</v>
      </c>
      <c r="D102">
        <v>6.5711353168077705E-2</v>
      </c>
      <c r="E102">
        <v>113.43132653273599</v>
      </c>
      <c r="F102">
        <v>21.258808807469901</v>
      </c>
      <c r="G102">
        <v>2.4479836691170898E-3</v>
      </c>
    </row>
    <row r="103" spans="1:7" x14ac:dyDescent="0.2">
      <c r="A103" t="s">
        <v>108</v>
      </c>
      <c r="B103">
        <v>8.9234970500692707</v>
      </c>
      <c r="C103">
        <v>7.32575465645641</v>
      </c>
      <c r="D103">
        <v>4.03339221080765E-2</v>
      </c>
      <c r="E103">
        <v>104.708789242431</v>
      </c>
      <c r="F103">
        <v>57.959028999321099</v>
      </c>
      <c r="G103">
        <v>8.8700953405350402E-4</v>
      </c>
    </row>
    <row r="104" spans="1:7" x14ac:dyDescent="0.2">
      <c r="A104" t="s">
        <v>109</v>
      </c>
      <c r="B104">
        <v>20.669976092875</v>
      </c>
      <c r="C104">
        <v>99.735971466638105</v>
      </c>
      <c r="D104">
        <v>1.69674240000545E-2</v>
      </c>
      <c r="E104">
        <v>81.380774779245201</v>
      </c>
      <c r="F104">
        <v>133.083815039135</v>
      </c>
      <c r="G104">
        <v>1.23393339570611E-3</v>
      </c>
    </row>
    <row r="105" spans="1:7" x14ac:dyDescent="0.2">
      <c r="A105" t="s">
        <v>110</v>
      </c>
      <c r="B105">
        <v>45.275966530665698</v>
      </c>
      <c r="C105">
        <v>49.859586136415601</v>
      </c>
      <c r="D105">
        <v>9.9961235341522806E-2</v>
      </c>
      <c r="E105">
        <v>0.86875520646572102</v>
      </c>
      <c r="F105">
        <v>431.14784949459101</v>
      </c>
      <c r="G105">
        <v>3.2519005518406598E-3</v>
      </c>
    </row>
    <row r="106" spans="1:7" x14ac:dyDescent="0.2">
      <c r="A106" t="s">
        <v>111</v>
      </c>
      <c r="B106">
        <v>5.4275634372606802</v>
      </c>
      <c r="C106">
        <v>35.296490145847201</v>
      </c>
      <c r="D106">
        <v>1.09698192400857E-2</v>
      </c>
      <c r="E106">
        <v>0.58741886168718305</v>
      </c>
      <c r="F106">
        <v>232.03456660732601</v>
      </c>
      <c r="G106">
        <v>5.5577374063432196E-4</v>
      </c>
    </row>
    <row r="107" spans="1:7" x14ac:dyDescent="0.2">
      <c r="A107" t="s">
        <v>112</v>
      </c>
      <c r="B107">
        <v>16.896533248014698</v>
      </c>
      <c r="C107">
        <v>84.508541370741995</v>
      </c>
      <c r="D107">
        <v>6.6038614361546904E-3</v>
      </c>
      <c r="E107">
        <v>55.602393485605702</v>
      </c>
      <c r="F107">
        <v>315.30550945550198</v>
      </c>
      <c r="G107">
        <v>2.69083380699157E-3</v>
      </c>
    </row>
    <row r="108" spans="1:7" x14ac:dyDescent="0.2">
      <c r="A108" t="s">
        <v>113</v>
      </c>
      <c r="B108">
        <v>48.558347519021403</v>
      </c>
      <c r="C108">
        <v>97.660235960967796</v>
      </c>
      <c r="D108">
        <v>6.5040817193686897E-3</v>
      </c>
      <c r="E108">
        <v>16.310749528929499</v>
      </c>
      <c r="F108">
        <v>208.981640278361</v>
      </c>
      <c r="G108">
        <v>3.5164286382496301E-3</v>
      </c>
    </row>
    <row r="109" spans="1:7" x14ac:dyDescent="0.2">
      <c r="A109" t="s">
        <v>114</v>
      </c>
      <c r="B109">
        <v>28.4358284459449</v>
      </c>
      <c r="C109">
        <v>85.384652909822705</v>
      </c>
      <c r="D109">
        <v>6.3093152171187106E-2</v>
      </c>
      <c r="E109">
        <v>103.46182272769499</v>
      </c>
      <c r="F109">
        <v>77.799354554153894</v>
      </c>
      <c r="G109">
        <v>1.0947501612827101E-3</v>
      </c>
    </row>
    <row r="110" spans="1:7" x14ac:dyDescent="0.2">
      <c r="A110" t="s">
        <v>115</v>
      </c>
      <c r="B110">
        <v>4.8597110640257597</v>
      </c>
      <c r="C110">
        <v>60.115889973938401</v>
      </c>
      <c r="D110">
        <v>3.1329025706183102E-2</v>
      </c>
      <c r="E110">
        <v>12.9733021371066</v>
      </c>
      <c r="F110">
        <v>499.04868405777898</v>
      </c>
      <c r="G110" s="1">
        <v>4.7281542792916201E-5</v>
      </c>
    </row>
    <row r="111" spans="1:7" x14ac:dyDescent="0.2">
      <c r="A111" t="s">
        <v>116</v>
      </c>
      <c r="B111">
        <v>31.1675020554102</v>
      </c>
      <c r="C111">
        <v>92.699140057899001</v>
      </c>
      <c r="D111">
        <v>1.46656794917769E-2</v>
      </c>
      <c r="E111">
        <v>25.281790271401398</v>
      </c>
      <c r="F111">
        <v>263.89889368321701</v>
      </c>
      <c r="G111">
        <v>8.66110892966389E-4</v>
      </c>
    </row>
    <row r="112" spans="1:7" x14ac:dyDescent="0.2">
      <c r="A112" t="s">
        <v>117</v>
      </c>
      <c r="B112">
        <v>1.0618297159671699</v>
      </c>
      <c r="C112">
        <v>71.416123960167099</v>
      </c>
      <c r="D112">
        <v>9.7413746126647993E-2</v>
      </c>
      <c r="E112">
        <v>142.46285841800201</v>
      </c>
      <c r="F112">
        <v>63.505799537524503</v>
      </c>
      <c r="G112">
        <v>3.7211656477302299E-3</v>
      </c>
    </row>
    <row r="113" spans="1:7" x14ac:dyDescent="0.2">
      <c r="A113" t="s">
        <v>118</v>
      </c>
      <c r="B113">
        <v>7.8086779820732701</v>
      </c>
      <c r="C113">
        <v>62.927644428797002</v>
      </c>
      <c r="D113">
        <v>9.7141370366048002E-2</v>
      </c>
      <c r="E113">
        <v>102.63036126270801</v>
      </c>
      <c r="F113">
        <v>141.32700330112101</v>
      </c>
      <c r="G113">
        <v>3.06092491373419E-4</v>
      </c>
    </row>
    <row r="114" spans="1:7" x14ac:dyDescent="0.2">
      <c r="A114" t="s">
        <v>119</v>
      </c>
      <c r="B114">
        <v>37.070611268281901</v>
      </c>
      <c r="C114">
        <v>5.4639621078968004</v>
      </c>
      <c r="D114">
        <v>2.5523942249081999E-2</v>
      </c>
      <c r="E114">
        <v>67.657753871753798</v>
      </c>
      <c r="F114">
        <v>380.113565241917</v>
      </c>
      <c r="G114">
        <v>9.6428296528756603E-4</v>
      </c>
    </row>
    <row r="115" spans="1:7" x14ac:dyDescent="0.2">
      <c r="A115" t="s">
        <v>120</v>
      </c>
      <c r="B115">
        <v>39.032115117181</v>
      </c>
      <c r="C115">
        <v>30.599208224564698</v>
      </c>
      <c r="D115">
        <v>5.2969004676118397E-2</v>
      </c>
      <c r="E115">
        <v>85.415304405614705</v>
      </c>
      <c r="F115">
        <v>275.55918782949402</v>
      </c>
      <c r="G115" s="1">
        <v>9.7967274487018502E-5</v>
      </c>
    </row>
    <row r="116" spans="1:7" x14ac:dyDescent="0.2">
      <c r="A116" t="s">
        <v>121</v>
      </c>
      <c r="B116">
        <v>1.7335879788734001</v>
      </c>
      <c r="C116">
        <v>87.245113984681595</v>
      </c>
      <c r="D116">
        <v>9.5447480700444398E-2</v>
      </c>
      <c r="E116">
        <v>16.217309748753902</v>
      </c>
      <c r="F116">
        <v>407.680951566435</v>
      </c>
      <c r="G116">
        <v>2.7354365214705398E-4</v>
      </c>
    </row>
    <row r="117" spans="1:7" x14ac:dyDescent="0.2">
      <c r="A117" t="s">
        <v>122</v>
      </c>
      <c r="B117">
        <v>47.782344620209102</v>
      </c>
      <c r="C117">
        <v>73.209354049526098</v>
      </c>
      <c r="D117">
        <v>5.1684271403681398E-2</v>
      </c>
      <c r="E117">
        <v>32.852115388959596</v>
      </c>
      <c r="F117">
        <v>312.16707461047901</v>
      </c>
      <c r="G117">
        <v>2.6521617406979202E-3</v>
      </c>
    </row>
    <row r="118" spans="1:7" x14ac:dyDescent="0.2">
      <c r="A118" t="s">
        <v>123</v>
      </c>
      <c r="B118">
        <v>25.2343672853894</v>
      </c>
      <c r="C118">
        <v>51.488124057650502</v>
      </c>
      <c r="D118">
        <v>5.2001597622036898E-2</v>
      </c>
      <c r="E118">
        <v>19.4254654459655</v>
      </c>
      <c r="F118">
        <v>134.46220208425001</v>
      </c>
      <c r="G118">
        <v>2.1847799886018E-4</v>
      </c>
    </row>
    <row r="119" spans="1:7" x14ac:dyDescent="0.2">
      <c r="A119" t="s">
        <v>124</v>
      </c>
      <c r="B119">
        <v>2.5318364738486698</v>
      </c>
      <c r="C119">
        <v>38.456076315604101</v>
      </c>
      <c r="D119">
        <v>2.03069601258263E-2</v>
      </c>
      <c r="E119">
        <v>149.443151056766</v>
      </c>
      <c r="F119">
        <v>199.34145844541399</v>
      </c>
      <c r="G119">
        <v>4.0226587094366502E-3</v>
      </c>
    </row>
    <row r="120" spans="1:7" x14ac:dyDescent="0.2">
      <c r="A120" t="s">
        <v>125</v>
      </c>
      <c r="B120">
        <v>40.129248063545603</v>
      </c>
      <c r="C120">
        <v>78.856737008318305</v>
      </c>
      <c r="D120">
        <v>2.91927169506438E-2</v>
      </c>
      <c r="E120">
        <v>123.731220513582</v>
      </c>
      <c r="F120">
        <v>58.3392032375559</v>
      </c>
      <c r="G120">
        <v>4.9725842662155604E-3</v>
      </c>
    </row>
    <row r="121" spans="1:7" x14ac:dyDescent="0.2">
      <c r="A121" t="s">
        <v>126</v>
      </c>
      <c r="B121">
        <v>18.835057857911998</v>
      </c>
      <c r="C121">
        <v>14.200164345093</v>
      </c>
      <c r="D121">
        <v>3.6971975626423899E-3</v>
      </c>
      <c r="E121">
        <v>13.316006027162</v>
      </c>
      <c r="F121">
        <v>424.39763968810399</v>
      </c>
      <c r="G121">
        <v>1.5332686575129601E-3</v>
      </c>
    </row>
    <row r="122" spans="1:7" x14ac:dyDescent="0.2">
      <c r="A122" t="s">
        <v>127</v>
      </c>
      <c r="B122">
        <v>22.911498237866901</v>
      </c>
      <c r="C122">
        <v>75.933012170717106</v>
      </c>
      <c r="D122">
        <v>6.8703310730867002E-3</v>
      </c>
      <c r="E122">
        <v>1.6847587656229699</v>
      </c>
      <c r="F122">
        <v>389.57999040838303</v>
      </c>
      <c r="G122">
        <v>1.11200332641601E-3</v>
      </c>
    </row>
    <row r="123" spans="1:7" x14ac:dyDescent="0.2">
      <c r="A123" t="s">
        <v>128</v>
      </c>
      <c r="B123">
        <v>6.5879296287894196</v>
      </c>
      <c r="C123">
        <v>47.220124433748403</v>
      </c>
      <c r="D123">
        <v>9.9443011321779295E-2</v>
      </c>
      <c r="E123">
        <v>78.690133849158798</v>
      </c>
      <c r="F123">
        <v>16.179539370350501</v>
      </c>
      <c r="G123">
        <v>4.7726406902074796E-3</v>
      </c>
    </row>
    <row r="124" spans="1:7" x14ac:dyDescent="0.2">
      <c r="A124" t="s">
        <v>129</v>
      </c>
      <c r="B124">
        <v>11.046236730646299</v>
      </c>
      <c r="C124">
        <v>12.9961151946336</v>
      </c>
      <c r="D124">
        <v>7.9401592734176601E-2</v>
      </c>
      <c r="E124">
        <v>125.99722864106199</v>
      </c>
      <c r="F124">
        <v>331.697823493741</v>
      </c>
      <c r="G124">
        <v>4.5457499846816001E-3</v>
      </c>
    </row>
    <row r="125" spans="1:7" x14ac:dyDescent="0.2">
      <c r="A125" t="s">
        <v>130</v>
      </c>
      <c r="B125">
        <v>20.854599705897201</v>
      </c>
      <c r="C125">
        <v>4.1076403474435201</v>
      </c>
      <c r="D125">
        <v>8.9407093480415603E-2</v>
      </c>
      <c r="E125">
        <v>3.7756199017166998</v>
      </c>
      <c r="F125">
        <v>48.870516000315497</v>
      </c>
      <c r="G125">
        <v>1.0430248919874401E-3</v>
      </c>
    </row>
    <row r="126" spans="1:7" x14ac:dyDescent="0.2">
      <c r="A126" t="s">
        <v>131</v>
      </c>
      <c r="B126">
        <v>28.843901301268399</v>
      </c>
      <c r="C126">
        <v>68.417133378796194</v>
      </c>
      <c r="D126">
        <v>6.9187324658222499E-2</v>
      </c>
      <c r="E126">
        <v>5.2064983639866096</v>
      </c>
      <c r="F126">
        <v>245.848897774703</v>
      </c>
      <c r="G126">
        <v>6.1711651738733005E-4</v>
      </c>
    </row>
    <row r="127" spans="1:7" x14ac:dyDescent="0.2">
      <c r="A127" t="s">
        <v>132</v>
      </c>
      <c r="B127">
        <v>9.8556862580589897</v>
      </c>
      <c r="C127">
        <v>80.174439485184806</v>
      </c>
      <c r="D127">
        <v>4.9164509615860802E-2</v>
      </c>
      <c r="E127">
        <v>88.557411404326501</v>
      </c>
      <c r="F127">
        <v>260.41954968590198</v>
      </c>
      <c r="G127">
        <v>4.7000952018424799E-3</v>
      </c>
    </row>
    <row r="128" spans="1:7" x14ac:dyDescent="0.2">
      <c r="A128" t="s">
        <v>133</v>
      </c>
      <c r="B128">
        <v>39.4903039750643</v>
      </c>
      <c r="C128">
        <v>48.808146037161301</v>
      </c>
      <c r="D128">
        <v>1.37624121932312E-3</v>
      </c>
      <c r="E128">
        <v>6.1166214756667596</v>
      </c>
      <c r="F128">
        <v>97.9832054581493</v>
      </c>
      <c r="G128">
        <v>3.3823064062744299E-4</v>
      </c>
    </row>
    <row r="129" spans="1:7" x14ac:dyDescent="0.2">
      <c r="A129" t="s">
        <v>134</v>
      </c>
      <c r="B129">
        <v>41.438976726960298</v>
      </c>
      <c r="C129">
        <v>21.590301069431</v>
      </c>
      <c r="D129">
        <v>9.2707210789620798E-2</v>
      </c>
      <c r="E129">
        <v>80.133987078443099</v>
      </c>
      <c r="F129">
        <v>33.687978009693303</v>
      </c>
      <c r="G129">
        <v>8.2597868051379896E-4</v>
      </c>
    </row>
    <row r="130" spans="1:7" x14ac:dyDescent="0.2">
      <c r="A130" t="s">
        <v>135</v>
      </c>
      <c r="B130">
        <v>0.75101607711985696</v>
      </c>
      <c r="C130">
        <v>31.515991808846501</v>
      </c>
      <c r="D130">
        <v>4.3256009821686897E-2</v>
      </c>
      <c r="E130">
        <v>78.821040876209693</v>
      </c>
      <c r="F130">
        <v>401.75268875434898</v>
      </c>
      <c r="G130">
        <v>1.67960147373378E-3</v>
      </c>
    </row>
    <row r="131" spans="1:7" x14ac:dyDescent="0.2">
      <c r="A131" t="s">
        <v>136</v>
      </c>
      <c r="B131">
        <v>13.708543842658401</v>
      </c>
      <c r="C131">
        <v>63.817678585648501</v>
      </c>
      <c r="D131">
        <v>3.0095858066342698E-2</v>
      </c>
      <c r="E131">
        <v>77.853244822472305</v>
      </c>
      <c r="F131">
        <v>171.387038044631</v>
      </c>
      <c r="G131">
        <v>4.89396038465201E-3</v>
      </c>
    </row>
    <row r="132" spans="1:7" x14ac:dyDescent="0.2">
      <c r="A132" t="s">
        <v>137</v>
      </c>
      <c r="B132">
        <v>14.436907670926299</v>
      </c>
      <c r="C132">
        <v>60.936771862208801</v>
      </c>
      <c r="D132">
        <v>5.6601386751700199E-2</v>
      </c>
      <c r="E132">
        <v>134.97998923994601</v>
      </c>
      <c r="F132">
        <v>35.398056539706801</v>
      </c>
      <c r="G132">
        <v>3.1172485090792099E-4</v>
      </c>
    </row>
    <row r="133" spans="1:7" x14ac:dyDescent="0.2">
      <c r="A133" t="s">
        <v>138</v>
      </c>
      <c r="B133">
        <v>7.3850056966766697</v>
      </c>
      <c r="C133">
        <v>95.672629335895095</v>
      </c>
      <c r="D133">
        <v>3.3528744998387899E-2</v>
      </c>
      <c r="E133">
        <v>61.631610849872203</v>
      </c>
      <c r="F133">
        <v>292.14362611528401</v>
      </c>
      <c r="G133">
        <v>6.4731585327535801E-4</v>
      </c>
    </row>
    <row r="134" spans="1:7" x14ac:dyDescent="0.2">
      <c r="A134" t="s">
        <v>139</v>
      </c>
      <c r="B134">
        <v>4.0858959089964602</v>
      </c>
      <c r="C134">
        <v>25.368381897918798</v>
      </c>
      <c r="D134">
        <v>9.6457939469814305E-2</v>
      </c>
      <c r="E134">
        <v>139.745262125507</v>
      </c>
      <c r="F134">
        <v>259.65791388880399</v>
      </c>
      <c r="G134">
        <v>1.2088827835395901E-3</v>
      </c>
    </row>
    <row r="135" spans="1:7" x14ac:dyDescent="0.2">
      <c r="A135" t="s">
        <v>140</v>
      </c>
      <c r="B135">
        <v>45.022078394424099</v>
      </c>
      <c r="C135">
        <v>65.088196680880998</v>
      </c>
      <c r="D135">
        <v>7.3130212533008304E-2</v>
      </c>
      <c r="E135">
        <v>28.5244116559624</v>
      </c>
      <c r="F135">
        <v>106.606637518852</v>
      </c>
      <c r="G135">
        <v>4.8670810321345898E-3</v>
      </c>
    </row>
    <row r="136" spans="1:7" x14ac:dyDescent="0.2">
      <c r="A136" t="s">
        <v>141</v>
      </c>
      <c r="B136">
        <v>10.432109860703299</v>
      </c>
      <c r="C136">
        <v>39.374010844156103</v>
      </c>
      <c r="D136">
        <v>1.6147758610919102E-2</v>
      </c>
      <c r="E136">
        <v>17.888645315542799</v>
      </c>
      <c r="F136">
        <v>110.709296292625</v>
      </c>
      <c r="G136">
        <v>2.6658739149570398E-3</v>
      </c>
    </row>
    <row r="137" spans="1:7" x14ac:dyDescent="0.2">
      <c r="A137" t="s">
        <v>142</v>
      </c>
      <c r="B137">
        <v>14.297474179416801</v>
      </c>
      <c r="C137">
        <v>86.799754794687004</v>
      </c>
      <c r="D137">
        <v>7.52640839425847E-2</v>
      </c>
      <c r="E137">
        <v>69.936902029439807</v>
      </c>
      <c r="F137">
        <v>229.929136103019</v>
      </c>
      <c r="G137">
        <v>7.71000767126679E-4</v>
      </c>
    </row>
    <row r="138" spans="1:7" x14ac:dyDescent="0.2">
      <c r="A138" t="s">
        <v>143</v>
      </c>
      <c r="B138">
        <v>13.3961798450909</v>
      </c>
      <c r="C138">
        <v>90.908220708370195</v>
      </c>
      <c r="D138">
        <v>5.7412425087951101E-2</v>
      </c>
      <c r="E138">
        <v>23.518829466774999</v>
      </c>
      <c r="F138">
        <v>367.56684198509902</v>
      </c>
      <c r="G138">
        <v>4.9636194435879501E-3</v>
      </c>
    </row>
    <row r="139" spans="1:7" x14ac:dyDescent="0.2">
      <c r="A139" t="s">
        <v>144</v>
      </c>
      <c r="B139">
        <v>37.473646771628403</v>
      </c>
      <c r="C139">
        <v>11.364532521925801</v>
      </c>
      <c r="D139">
        <v>4.1477251912932799E-2</v>
      </c>
      <c r="E139">
        <v>131.67227706871901</v>
      </c>
      <c r="F139">
        <v>20.258504217490501</v>
      </c>
      <c r="G139">
        <v>4.8892840230837396E-3</v>
      </c>
    </row>
    <row r="140" spans="1:7" x14ac:dyDescent="0.2">
      <c r="A140" t="s">
        <v>145</v>
      </c>
      <c r="B140">
        <v>35.3873029951937</v>
      </c>
      <c r="C140">
        <v>39.480096963234203</v>
      </c>
      <c r="D140">
        <v>9.5408421666175094E-2</v>
      </c>
      <c r="E140">
        <v>59.295936953276303</v>
      </c>
      <c r="F140">
        <v>396.03708995506099</v>
      </c>
      <c r="G140">
        <v>4.72626835107803E-3</v>
      </c>
    </row>
    <row r="141" spans="1:7" x14ac:dyDescent="0.2">
      <c r="A141" t="s">
        <v>146</v>
      </c>
      <c r="B141">
        <v>6.8576339134015099</v>
      </c>
      <c r="C141">
        <v>72.632273837924004</v>
      </c>
      <c r="D141">
        <v>1.3289434145297801E-2</v>
      </c>
      <c r="E141">
        <v>45.173895685002201</v>
      </c>
      <c r="F141">
        <v>161.844019559212</v>
      </c>
      <c r="G141">
        <v>2.57707726676017E-3</v>
      </c>
    </row>
    <row r="142" spans="1:7" x14ac:dyDescent="0.2">
      <c r="A142" t="s">
        <v>147</v>
      </c>
      <c r="B142">
        <v>24.4114615865983</v>
      </c>
      <c r="C142">
        <v>78.013732243329201</v>
      </c>
      <c r="D142">
        <v>1.3371821850538201E-3</v>
      </c>
      <c r="E142">
        <v>68.517759209498706</v>
      </c>
      <c r="F142">
        <v>101.375668863765</v>
      </c>
      <c r="G142">
        <v>4.6615602122619696E-3</v>
      </c>
    </row>
    <row r="143" spans="1:7" x14ac:dyDescent="0.2">
      <c r="A143" t="s">
        <v>148</v>
      </c>
      <c r="B143">
        <v>19.7106095529161</v>
      </c>
      <c r="C143">
        <v>99.172154636122201</v>
      </c>
      <c r="D143">
        <v>9.8938387203123396E-2</v>
      </c>
      <c r="E143">
        <v>45.8067258819937</v>
      </c>
      <c r="F143">
        <v>180.74118942953601</v>
      </c>
      <c r="G143">
        <v>4.7292104875668803E-3</v>
      </c>
    </row>
    <row r="144" spans="1:7" x14ac:dyDescent="0.2">
      <c r="A144" t="s">
        <v>149</v>
      </c>
      <c r="B144">
        <v>36.388444534037198</v>
      </c>
      <c r="C144">
        <v>17.638928768225</v>
      </c>
      <c r="D144">
        <v>9.8544389581587094E-2</v>
      </c>
      <c r="E144">
        <v>7.62025220319628</v>
      </c>
      <c r="F144">
        <v>152.61329421773499</v>
      </c>
      <c r="G144">
        <v>1.09884270001202E-3</v>
      </c>
    </row>
    <row r="145" spans="1:7" x14ac:dyDescent="0.2">
      <c r="A145" t="s">
        <v>150</v>
      </c>
      <c r="B145">
        <v>1.9877859102562001</v>
      </c>
      <c r="C145">
        <v>2.8937369454652</v>
      </c>
      <c r="D145">
        <v>6.9011555980239003E-2</v>
      </c>
      <c r="E145">
        <v>24.884915677830499</v>
      </c>
      <c r="F145">
        <v>84.560860260389703</v>
      </c>
      <c r="G145">
        <v>1.58812712412327E-3</v>
      </c>
    </row>
    <row r="146" spans="1:7" x14ac:dyDescent="0.2">
      <c r="A146" t="s">
        <v>151</v>
      </c>
      <c r="B146">
        <v>34.458514342084499</v>
      </c>
      <c r="C146">
        <v>75.010468148626302</v>
      </c>
      <c r="D146">
        <v>9.3211839374154795E-2</v>
      </c>
      <c r="E146">
        <v>37.871783785521899</v>
      </c>
      <c r="F146">
        <v>193.51288077421401</v>
      </c>
      <c r="G146">
        <v>8.6326759308576499E-4</v>
      </c>
    </row>
    <row r="147" spans="1:7" x14ac:dyDescent="0.2">
      <c r="A147" t="s">
        <v>152</v>
      </c>
      <c r="B147">
        <v>38.690607049502397</v>
      </c>
      <c r="C147">
        <v>91.018933101557195</v>
      </c>
      <c r="D147">
        <v>3.1308947211690197E-2</v>
      </c>
      <c r="E147">
        <v>48.978225979953997</v>
      </c>
      <c r="F147">
        <v>139.12120740860701</v>
      </c>
      <c r="G147">
        <v>2.64901358168572E-3</v>
      </c>
    </row>
    <row r="148" spans="1:7" x14ac:dyDescent="0.2">
      <c r="A148" t="s">
        <v>153</v>
      </c>
      <c r="B148">
        <v>16.6376157812774</v>
      </c>
      <c r="C148">
        <v>7.7242404585704199</v>
      </c>
      <c r="D148">
        <v>2.8593531586695399E-2</v>
      </c>
      <c r="E148">
        <v>37.386669684201401</v>
      </c>
      <c r="F148">
        <v>491.13776725251199</v>
      </c>
      <c r="G148">
        <v>1.2812105426564799E-3</v>
      </c>
    </row>
    <row r="149" spans="1:7" x14ac:dyDescent="0.2">
      <c r="A149" t="s">
        <v>154</v>
      </c>
      <c r="B149">
        <v>44.105219113174797</v>
      </c>
      <c r="C149">
        <v>78.635257823392706</v>
      </c>
      <c r="D149">
        <v>4.4639825947862102E-2</v>
      </c>
      <c r="E149">
        <v>62.622753018513301</v>
      </c>
      <c r="F149">
        <v>211.160947177559</v>
      </c>
      <c r="G149">
        <v>1.6206535603851E-3</v>
      </c>
    </row>
    <row r="150" spans="1:7" x14ac:dyDescent="0.2">
      <c r="A150" t="s">
        <v>155</v>
      </c>
      <c r="B150">
        <v>21.514153607655299</v>
      </c>
      <c r="C150">
        <v>24.846511329524201</v>
      </c>
      <c r="D150">
        <v>7.13603338131681E-2</v>
      </c>
      <c r="E150">
        <v>52.171266730874699</v>
      </c>
      <c r="F150">
        <v>429.03224464040198</v>
      </c>
      <c r="G150">
        <v>4.6140803722664698E-3</v>
      </c>
    </row>
    <row r="151" spans="1:7" x14ac:dyDescent="0.2">
      <c r="A151" t="s">
        <v>156</v>
      </c>
      <c r="B151">
        <v>14.939229751005699</v>
      </c>
      <c r="C151">
        <v>58.757225479930597</v>
      </c>
      <c r="D151">
        <v>7.8491513039637306E-2</v>
      </c>
      <c r="E151">
        <v>18.403195543214601</v>
      </c>
      <c r="F151">
        <v>471.21579530648802</v>
      </c>
      <c r="G151">
        <v>4.6636426588520397E-3</v>
      </c>
    </row>
    <row r="152" spans="1:7" x14ac:dyDescent="0.2">
      <c r="A152" t="s">
        <v>157</v>
      </c>
      <c r="B152">
        <v>36.928815588820697</v>
      </c>
      <c r="C152">
        <v>53.2399834953248</v>
      </c>
      <c r="D152">
        <v>7.7573788227140894E-2</v>
      </c>
      <c r="E152">
        <v>111.72751821577501</v>
      </c>
      <c r="F152">
        <v>162.72944997996001</v>
      </c>
      <c r="G152">
        <v>4.9550189170986404E-3</v>
      </c>
    </row>
    <row r="153" spans="1:7" x14ac:dyDescent="0.2">
      <c r="A153" t="s">
        <v>158</v>
      </c>
      <c r="B153">
        <v>15.583522231318</v>
      </c>
      <c r="C153">
        <v>18.166836377233199</v>
      </c>
      <c r="D153">
        <v>1.14375156647525E-2</v>
      </c>
      <c r="E153">
        <v>83.071417361497794</v>
      </c>
      <c r="F153">
        <v>361.50978342164302</v>
      </c>
      <c r="G153">
        <v>4.9109370727092004E-3</v>
      </c>
    </row>
    <row r="154" spans="1:7" x14ac:dyDescent="0.2">
      <c r="A154" t="s">
        <v>159</v>
      </c>
      <c r="B154">
        <v>29.613939906004799</v>
      </c>
      <c r="C154">
        <v>4.6891334801912299</v>
      </c>
      <c r="D154">
        <v>9.4176289995200908E-3</v>
      </c>
      <c r="E154">
        <v>141.04955149814401</v>
      </c>
      <c r="F154">
        <v>29.248064267448999</v>
      </c>
      <c r="G154">
        <v>6.2667857855558395E-4</v>
      </c>
    </row>
    <row r="155" spans="1:7" x14ac:dyDescent="0.2">
      <c r="A155" t="s">
        <v>160</v>
      </c>
      <c r="B155">
        <v>42.722123077139202</v>
      </c>
      <c r="C155">
        <v>27.231505182571698</v>
      </c>
      <c r="D155">
        <v>1.7014104799460601E-2</v>
      </c>
      <c r="E155">
        <v>143.25360702350699</v>
      </c>
      <c r="F155">
        <v>121.201691608875</v>
      </c>
      <c r="G155">
        <v>3.7658811686560501E-3</v>
      </c>
    </row>
    <row r="156" spans="1:7" x14ac:dyDescent="0.2">
      <c r="A156" t="s">
        <v>161</v>
      </c>
      <c r="B156">
        <v>22.139580347575201</v>
      </c>
      <c r="C156">
        <v>23.336878684349301</v>
      </c>
      <c r="D156">
        <v>4.4818189859204001E-2</v>
      </c>
      <c r="E156">
        <v>138.154791528359</v>
      </c>
      <c r="F156">
        <v>188.389009516686</v>
      </c>
      <c r="G156">
        <v>4.8328543733805402E-3</v>
      </c>
    </row>
    <row r="157" spans="1:7" x14ac:dyDescent="0.2">
      <c r="A157" t="s">
        <v>162</v>
      </c>
      <c r="B157">
        <v>31.3514704885892</v>
      </c>
      <c r="C157">
        <v>11.161920598708001</v>
      </c>
      <c r="D157">
        <v>9.16846509794704E-2</v>
      </c>
      <c r="E157">
        <v>98.271721741184507</v>
      </c>
      <c r="F157">
        <v>342.43044819682802</v>
      </c>
      <c r="G157">
        <v>7.4356147553771696E-4</v>
      </c>
    </row>
    <row r="158" spans="1:7" x14ac:dyDescent="0.2">
      <c r="A158" t="s">
        <v>163</v>
      </c>
      <c r="B158">
        <v>3.8634563130326498</v>
      </c>
      <c r="C158">
        <v>15.515393624082201</v>
      </c>
      <c r="D158">
        <v>2.58143970933742E-2</v>
      </c>
      <c r="E158">
        <v>31.8130700848996</v>
      </c>
      <c r="F158">
        <v>121.74986118916399</v>
      </c>
      <c r="G158">
        <v>2.4542097933590398E-4</v>
      </c>
    </row>
    <row r="159" spans="1:7" x14ac:dyDescent="0.2">
      <c r="A159" t="s">
        <v>164</v>
      </c>
      <c r="B159">
        <v>3.2706048549152902</v>
      </c>
      <c r="C159">
        <v>45.10931301862</v>
      </c>
      <c r="D159">
        <v>4.6365886775217899E-2</v>
      </c>
      <c r="E159">
        <v>50.846141763031397</v>
      </c>
      <c r="F159">
        <v>55.5314733833074</v>
      </c>
      <c r="G159">
        <v>3.6686356505379E-3</v>
      </c>
    </row>
    <row r="160" spans="1:7" x14ac:dyDescent="0.2">
      <c r="A160" t="s">
        <v>165</v>
      </c>
      <c r="B160">
        <v>26.295616872608601</v>
      </c>
      <c r="C160">
        <v>20.333853666670599</v>
      </c>
      <c r="D160">
        <v>2.5054158770758599E-2</v>
      </c>
      <c r="E160">
        <v>8.6183798499405295</v>
      </c>
      <c r="F160">
        <v>53.415868529118598</v>
      </c>
      <c r="G160">
        <v>4.7185830865055303E-3</v>
      </c>
    </row>
    <row r="161" spans="1:7" x14ac:dyDescent="0.2">
      <c r="A161" t="s">
        <v>166</v>
      </c>
      <c r="B161">
        <v>17.965834881178999</v>
      </c>
      <c r="C161">
        <v>30.077484808862199</v>
      </c>
      <c r="D161">
        <v>1.75511709880083E-3</v>
      </c>
      <c r="E161">
        <v>148.952450137585</v>
      </c>
      <c r="F161">
        <v>42.997042457573102</v>
      </c>
      <c r="G161">
        <v>4.9615240609273302E-3</v>
      </c>
    </row>
    <row r="162" spans="1:7" x14ac:dyDescent="0.2">
      <c r="A162" t="s">
        <v>167</v>
      </c>
      <c r="B162">
        <v>46.362758312374297</v>
      </c>
      <c r="C162">
        <v>5.9692599270492703</v>
      </c>
      <c r="D162">
        <v>9.9199138376302995E-2</v>
      </c>
      <c r="E162">
        <v>121.30208071321201</v>
      </c>
      <c r="F162">
        <v>218.579682009294</v>
      </c>
      <c r="G162">
        <v>1.71216951217502E-3</v>
      </c>
    </row>
    <row r="163" spans="1:7" x14ac:dyDescent="0.2">
      <c r="A163" t="s">
        <v>168</v>
      </c>
      <c r="B163">
        <v>31.8387486953288</v>
      </c>
      <c r="C163">
        <v>36.597110094502497</v>
      </c>
      <c r="D163">
        <v>4.62644876194186E-2</v>
      </c>
      <c r="E163">
        <v>11.6919699590653</v>
      </c>
      <c r="F163">
        <v>464.98216649051699</v>
      </c>
      <c r="G163">
        <v>2.6191944209858699E-3</v>
      </c>
    </row>
    <row r="164" spans="1:7" x14ac:dyDescent="0.2">
      <c r="A164" t="s">
        <v>169</v>
      </c>
      <c r="B164">
        <v>25.734421084169298</v>
      </c>
      <c r="C164">
        <v>55.400434049777601</v>
      </c>
      <c r="D164">
        <v>1.80780302698723E-2</v>
      </c>
      <c r="E164">
        <v>27.4524235166609</v>
      </c>
      <c r="F164">
        <v>415.46495210845001</v>
      </c>
      <c r="G164">
        <v>4.9887165892869203E-3</v>
      </c>
    </row>
    <row r="165" spans="1:7" x14ac:dyDescent="0.2">
      <c r="A165" t="s">
        <v>170</v>
      </c>
      <c r="B165">
        <v>48.460772606544197</v>
      </c>
      <c r="C165">
        <v>22.365368681959801</v>
      </c>
      <c r="D165">
        <v>7.3283906841184895E-2</v>
      </c>
      <c r="E165">
        <v>6.4508945681154701</v>
      </c>
      <c r="F165">
        <v>406.93292568437698</v>
      </c>
      <c r="G165">
        <v>1.15259418729692E-3</v>
      </c>
    </row>
    <row r="166" spans="1:7" x14ac:dyDescent="0.2">
      <c r="A166" t="s">
        <v>171</v>
      </c>
      <c r="B166">
        <v>49.332917984109301</v>
      </c>
      <c r="C166">
        <v>37.4210132230073</v>
      </c>
      <c r="D166">
        <v>7.1323546794336196E-2</v>
      </c>
      <c r="E166">
        <v>133.33278670907001</v>
      </c>
      <c r="F166">
        <v>60.935396500863099</v>
      </c>
      <c r="G166">
        <v>2.7249251632019801E-3</v>
      </c>
    </row>
    <row r="167" spans="1:7" x14ac:dyDescent="0.2">
      <c r="A167" t="s">
        <v>172</v>
      </c>
      <c r="B167">
        <v>19.5085195791907</v>
      </c>
      <c r="C167">
        <v>5.0665758019313198</v>
      </c>
      <c r="D167">
        <v>1.9862084709946E-2</v>
      </c>
      <c r="E167">
        <v>114.10927134566001</v>
      </c>
      <c r="F167">
        <v>243.87580473441599</v>
      </c>
      <c r="G167">
        <v>4.8517604265361997E-3</v>
      </c>
    </row>
    <row r="168" spans="1:7" x14ac:dyDescent="0.2">
      <c r="A168" t="s">
        <v>173</v>
      </c>
      <c r="B168">
        <v>8.1639833664521504</v>
      </c>
      <c r="C168">
        <v>11.2701344387605</v>
      </c>
      <c r="D168">
        <v>2.63107709676027E-2</v>
      </c>
      <c r="E168">
        <v>4.3996605556458199</v>
      </c>
      <c r="F168">
        <v>353.77846771851102</v>
      </c>
      <c r="G168">
        <v>3.26541533228009E-3</v>
      </c>
    </row>
    <row r="169" spans="1:7" x14ac:dyDescent="0.2">
      <c r="A169" t="s">
        <v>174</v>
      </c>
      <c r="B169">
        <v>1.6721238391473801</v>
      </c>
      <c r="C169">
        <v>92.793545517139094</v>
      </c>
      <c r="D169">
        <v>4.95638610590249E-3</v>
      </c>
      <c r="E169">
        <v>119.603447802364</v>
      </c>
      <c r="F169">
        <v>112.506239605136</v>
      </c>
      <c r="G169">
        <v>2.2116781957447502E-3</v>
      </c>
    </row>
    <row r="170" spans="1:7" x14ac:dyDescent="0.2">
      <c r="A170" t="s">
        <v>175</v>
      </c>
      <c r="B170">
        <v>29.2273897915147</v>
      </c>
      <c r="C170">
        <v>51.079483797773698</v>
      </c>
      <c r="D170">
        <v>3.2980639881920001E-2</v>
      </c>
      <c r="E170">
        <v>84.188132174312997</v>
      </c>
      <c r="F170">
        <v>37.321526305749998</v>
      </c>
      <c r="G170">
        <v>4.8382558161392799E-3</v>
      </c>
    </row>
    <row r="171" spans="1:7" x14ac:dyDescent="0.2">
      <c r="A171" t="s">
        <v>176</v>
      </c>
      <c r="B171">
        <v>48.117617599666097</v>
      </c>
      <c r="C171">
        <v>12.972459938377099</v>
      </c>
      <c r="D171">
        <v>3.00312670492567E-2</v>
      </c>
      <c r="E171">
        <v>146.63346237502901</v>
      </c>
      <c r="F171">
        <v>175.68976451177099</v>
      </c>
      <c r="G171">
        <v>1.06153236702084E-4</v>
      </c>
    </row>
    <row r="172" spans="1:7" x14ac:dyDescent="0.2">
      <c r="A172" t="s">
        <v>177</v>
      </c>
      <c r="B172">
        <v>42.023392214439802</v>
      </c>
      <c r="C172">
        <v>98.469873945228699</v>
      </c>
      <c r="D172">
        <v>9.2504017247818399E-2</v>
      </c>
      <c r="E172">
        <v>9.8824235145002604</v>
      </c>
      <c r="F172">
        <v>299.22816618811299</v>
      </c>
      <c r="G172" s="1">
        <v>6.1380486004054504E-5</v>
      </c>
    </row>
    <row r="173" spans="1:7" x14ac:dyDescent="0.2">
      <c r="A173" t="s">
        <v>178</v>
      </c>
      <c r="B173">
        <v>18.6620752122253</v>
      </c>
      <c r="C173">
        <v>55.7736526466906</v>
      </c>
      <c r="D173">
        <v>3.66164312832057E-2</v>
      </c>
      <c r="E173">
        <v>93.230757862329398</v>
      </c>
      <c r="F173">
        <v>217.88064613007001</v>
      </c>
      <c r="G173">
        <v>1.06169971637427E-3</v>
      </c>
    </row>
    <row r="174" spans="1:7" x14ac:dyDescent="0.2">
      <c r="A174" t="s">
        <v>179</v>
      </c>
      <c r="B174">
        <v>12.8936985800974</v>
      </c>
      <c r="C174">
        <v>49.883980014361399</v>
      </c>
      <c r="D174">
        <v>6.3503955729026298E-2</v>
      </c>
      <c r="E174">
        <v>36.184189422056001</v>
      </c>
      <c r="F174">
        <v>284.27267135586499</v>
      </c>
      <c r="G174" s="1">
        <v>7.2907954454422004E-5</v>
      </c>
    </row>
    <row r="175" spans="1:7" x14ac:dyDescent="0.2">
      <c r="A175" t="s">
        <v>180</v>
      </c>
      <c r="B175">
        <v>6.1507800100371197</v>
      </c>
      <c r="C175">
        <v>12.2209089118987</v>
      </c>
      <c r="D175">
        <v>6.1734341798536402E-2</v>
      </c>
      <c r="E175">
        <v>49.677422130480402</v>
      </c>
      <c r="F175">
        <v>197.045635478571</v>
      </c>
      <c r="G175">
        <v>4.8821262177079902E-3</v>
      </c>
    </row>
    <row r="176" spans="1:7" x14ac:dyDescent="0.2">
      <c r="A176" t="s">
        <v>181</v>
      </c>
      <c r="B176">
        <v>25.5355480010621</v>
      </c>
      <c r="C176">
        <v>7.0240912688895998</v>
      </c>
      <c r="D176">
        <v>9.4373128335271006E-2</v>
      </c>
      <c r="E176">
        <v>15.3661964926868</v>
      </c>
      <c r="F176">
        <v>326.011249935254</v>
      </c>
      <c r="G176">
        <v>4.1152859060093697E-3</v>
      </c>
    </row>
    <row r="177" spans="1:7" x14ac:dyDescent="0.2">
      <c r="A177" t="s">
        <v>182</v>
      </c>
      <c r="B177">
        <v>49.2450413652695</v>
      </c>
      <c r="C177">
        <v>4.6046950342133597</v>
      </c>
      <c r="D177">
        <v>4.61220151322893E-2</v>
      </c>
      <c r="E177">
        <v>18.490316206589299</v>
      </c>
      <c r="F177">
        <v>254.77217978332101</v>
      </c>
      <c r="G177">
        <v>4.71783205866813E-4</v>
      </c>
    </row>
    <row r="178" spans="1:7" x14ac:dyDescent="0.2">
      <c r="A178" t="s">
        <v>183</v>
      </c>
      <c r="B178">
        <v>33.002748525701399</v>
      </c>
      <c r="C178">
        <v>19.728576657362201</v>
      </c>
      <c r="D178">
        <v>2.9746258507482698E-3</v>
      </c>
      <c r="E178">
        <v>107.51924416981601</v>
      </c>
      <c r="F178">
        <v>206.677941167727</v>
      </c>
      <c r="G178">
        <v>1.83517318218946E-3</v>
      </c>
    </row>
    <row r="179" spans="1:7" x14ac:dyDescent="0.2">
      <c r="A179" t="s">
        <v>184</v>
      </c>
      <c r="B179">
        <v>19.056660684291199</v>
      </c>
      <c r="C179">
        <v>61.674226748757</v>
      </c>
      <c r="D179">
        <v>4.64372690902091E-2</v>
      </c>
      <c r="E179">
        <v>7.5376736931502801</v>
      </c>
      <c r="F179">
        <v>335.95031916163799</v>
      </c>
      <c r="G179">
        <v>4.9475262919440799E-3</v>
      </c>
    </row>
    <row r="180" spans="1:7" x14ac:dyDescent="0.2">
      <c r="A180" t="s">
        <v>185</v>
      </c>
      <c r="B180">
        <v>24.1078402199782</v>
      </c>
      <c r="C180">
        <v>19.0268696406856</v>
      </c>
      <c r="D180">
        <v>7.4947763477172705E-2</v>
      </c>
      <c r="E180">
        <v>85.858620330691295</v>
      </c>
      <c r="F180">
        <v>125.530128353275</v>
      </c>
      <c r="G180">
        <v>4.0404553059488497E-3</v>
      </c>
    </row>
    <row r="181" spans="1:7" x14ac:dyDescent="0.2">
      <c r="A181" t="s">
        <v>186</v>
      </c>
      <c r="B181">
        <v>48.590198147576302</v>
      </c>
      <c r="C181">
        <v>69.225981754250796</v>
      </c>
      <c r="D181">
        <v>6.2538529291842102E-2</v>
      </c>
      <c r="E181">
        <v>82.691614609211598</v>
      </c>
      <c r="F181">
        <v>122.33341266401099</v>
      </c>
      <c r="G181">
        <v>2.6490677613765E-4</v>
      </c>
    </row>
    <row r="182" spans="1:7" x14ac:dyDescent="0.2">
      <c r="A182" t="s">
        <v>187</v>
      </c>
      <c r="B182">
        <v>17.551458708941901</v>
      </c>
      <c r="C182">
        <v>41.290269804187098</v>
      </c>
      <c r="D182">
        <v>8.4085449040122301E-2</v>
      </c>
      <c r="E182">
        <v>109.14180795662099</v>
      </c>
      <c r="F182">
        <v>106.96694230195099</v>
      </c>
      <c r="G182">
        <v>1.44911851733922E-3</v>
      </c>
    </row>
    <row r="183" spans="1:7" x14ac:dyDescent="0.2">
      <c r="A183" t="s">
        <v>188</v>
      </c>
      <c r="B183">
        <v>43.047743540722799</v>
      </c>
      <c r="C183">
        <v>9.9810066912323201</v>
      </c>
      <c r="D183">
        <v>5.25173069803044E-2</v>
      </c>
      <c r="E183">
        <v>29.5642899814993</v>
      </c>
      <c r="F183">
        <v>456.26026433892503</v>
      </c>
      <c r="G183">
        <v>4.6551764570176603E-3</v>
      </c>
    </row>
    <row r="184" spans="1:7" x14ac:dyDescent="0.2">
      <c r="A184" t="s">
        <v>189</v>
      </c>
      <c r="B184">
        <v>45.981541653163703</v>
      </c>
      <c r="C184">
        <v>14.901954895816701</v>
      </c>
      <c r="D184">
        <v>9.7503155122510999E-3</v>
      </c>
      <c r="E184">
        <v>42.354975873604403</v>
      </c>
      <c r="F184">
        <v>63.112836559303098</v>
      </c>
      <c r="G184">
        <v>3.7407614151015798E-3</v>
      </c>
    </row>
    <row r="185" spans="1:7" x14ac:dyDescent="0.2">
      <c r="A185" t="s">
        <v>190</v>
      </c>
      <c r="B185">
        <v>40.784501160494898</v>
      </c>
      <c r="C185">
        <v>19.450483055785298</v>
      </c>
      <c r="D185">
        <v>3.5328585479874101E-2</v>
      </c>
      <c r="E185">
        <v>47.442411538213399</v>
      </c>
      <c r="F185">
        <v>349.666117453016</v>
      </c>
      <c r="G185">
        <v>5.3219709545373898E-4</v>
      </c>
    </row>
    <row r="186" spans="1:7" x14ac:dyDescent="0.2">
      <c r="A186" t="s">
        <v>191</v>
      </c>
      <c r="B186">
        <v>6.0609514052048299</v>
      </c>
      <c r="C186">
        <v>9.8123437054455191</v>
      </c>
      <c r="D186">
        <v>8.1783536914735997E-4</v>
      </c>
      <c r="E186">
        <v>18.3035507798194</v>
      </c>
      <c r="F186">
        <v>66.292939037084494</v>
      </c>
      <c r="G186" s="1">
        <v>6.9048097357153894E-5</v>
      </c>
    </row>
    <row r="187" spans="1:7" x14ac:dyDescent="0.2">
      <c r="A187" t="s">
        <v>192</v>
      </c>
      <c r="B187">
        <v>38.397056883201003</v>
      </c>
      <c r="C187">
        <v>42.777308979071599</v>
      </c>
      <c r="D187">
        <v>2.2772382784727901E-2</v>
      </c>
      <c r="E187">
        <v>140.478063561022</v>
      </c>
      <c r="F187">
        <v>17.983155520632799</v>
      </c>
      <c r="G187">
        <v>2.36348914913833E-4</v>
      </c>
    </row>
    <row r="188" spans="1:7" x14ac:dyDescent="0.2">
      <c r="A188" t="s">
        <v>193</v>
      </c>
      <c r="B188">
        <v>0.97390810307115305</v>
      </c>
      <c r="C188">
        <v>88.171517445705803</v>
      </c>
      <c r="D188">
        <v>2.2812121841963299E-2</v>
      </c>
      <c r="E188">
        <v>8.8658262044191307</v>
      </c>
      <c r="F188">
        <v>255.916603757068</v>
      </c>
      <c r="G188">
        <v>8.8179994840174901E-4</v>
      </c>
    </row>
    <row r="189" spans="1:7" x14ac:dyDescent="0.2">
      <c r="A189" t="s">
        <v>194</v>
      </c>
      <c r="B189">
        <v>48.460772606544197</v>
      </c>
      <c r="C189">
        <v>22.365368681959801</v>
      </c>
      <c r="D189">
        <v>7.3283906841184895E-2</v>
      </c>
      <c r="E189">
        <v>6.4508945681154701</v>
      </c>
      <c r="F189">
        <v>406.93292568437698</v>
      </c>
      <c r="G189">
        <v>1.15259418729692E-3</v>
      </c>
    </row>
    <row r="190" spans="1:7" x14ac:dyDescent="0.2">
      <c r="A190" t="s">
        <v>195</v>
      </c>
      <c r="B190">
        <v>49.825878811068797</v>
      </c>
      <c r="C190">
        <v>93.540846910327602</v>
      </c>
      <c r="D190">
        <v>5.6736024879291601E-2</v>
      </c>
      <c r="E190">
        <v>0.50513092428445805</v>
      </c>
      <c r="F190">
        <v>294.00869759730898</v>
      </c>
      <c r="G190">
        <v>4.2460882756858997E-3</v>
      </c>
    </row>
    <row r="191" spans="1:7" x14ac:dyDescent="0.2">
      <c r="A191" t="s">
        <v>196</v>
      </c>
      <c r="B191">
        <v>15.7260237089358</v>
      </c>
      <c r="C191">
        <v>67.212466297671199</v>
      </c>
      <c r="D191">
        <v>2.6440260195173299E-3</v>
      </c>
      <c r="E191">
        <v>6.9683080539107296</v>
      </c>
      <c r="F191">
        <v>137.44775427971001</v>
      </c>
      <c r="G191">
        <v>4.0212838631123304E-3</v>
      </c>
    </row>
    <row r="192" spans="1:7" x14ac:dyDescent="0.2">
      <c r="A192" t="s">
        <v>197</v>
      </c>
      <c r="B192">
        <v>19.7106095529161</v>
      </c>
      <c r="C192">
        <v>99.172154636122201</v>
      </c>
      <c r="D192">
        <v>9.8938387203123396E-2</v>
      </c>
      <c r="E192">
        <v>45.8067258819937</v>
      </c>
      <c r="F192">
        <v>180.74118942953601</v>
      </c>
      <c r="G192">
        <v>4.7292104875668803E-3</v>
      </c>
    </row>
    <row r="193" spans="1:7" x14ac:dyDescent="0.2">
      <c r="A193" t="s">
        <v>198</v>
      </c>
      <c r="B193">
        <v>30.188078262377498</v>
      </c>
      <c r="C193">
        <v>21.6617011968046</v>
      </c>
      <c r="D193">
        <v>6.3325240852311199E-3</v>
      </c>
      <c r="E193">
        <v>19.3245808593928</v>
      </c>
      <c r="F193">
        <v>437.05027194228001</v>
      </c>
      <c r="G193">
        <v>4.0281169721856696E-3</v>
      </c>
    </row>
    <row r="194" spans="1:7" x14ac:dyDescent="0.2">
      <c r="A194" t="s">
        <v>199</v>
      </c>
      <c r="B194">
        <v>38.208442306611602</v>
      </c>
      <c r="C194">
        <v>4.5311055034398997</v>
      </c>
      <c r="D194">
        <v>6.14010277763009E-4</v>
      </c>
      <c r="E194">
        <v>114.876403380185</v>
      </c>
      <c r="F194">
        <v>308.783561019226</v>
      </c>
      <c r="G194">
        <v>4.3853526189923204E-3</v>
      </c>
    </row>
    <row r="195" spans="1:7" x14ac:dyDescent="0.2">
      <c r="A195" t="s">
        <v>200</v>
      </c>
      <c r="B195">
        <v>15.324652432463999</v>
      </c>
      <c r="C195">
        <v>73.100773249752805</v>
      </c>
      <c r="D195">
        <v>1.7920134966075401E-2</v>
      </c>
      <c r="E195">
        <v>89.146912191063095</v>
      </c>
      <c r="F195">
        <v>262.940054819919</v>
      </c>
      <c r="G195">
        <v>1.3489602599292899E-4</v>
      </c>
    </row>
    <row r="196" spans="1:7" x14ac:dyDescent="0.2">
      <c r="A196" t="s">
        <v>201</v>
      </c>
      <c r="B196">
        <v>29.406607709825</v>
      </c>
      <c r="C196">
        <v>8.3501352565362996</v>
      </c>
      <c r="D196">
        <v>6.2893959683924902E-2</v>
      </c>
      <c r="E196">
        <v>23.7614403013139</v>
      </c>
      <c r="F196">
        <v>376.84417872223997</v>
      </c>
      <c r="G196">
        <v>3.3964925911277499E-4</v>
      </c>
    </row>
    <row r="197" spans="1:7" x14ac:dyDescent="0.2">
      <c r="A197" t="s">
        <v>202</v>
      </c>
      <c r="B197">
        <v>10.7114183478988</v>
      </c>
      <c r="C197">
        <v>46.4483613027259</v>
      </c>
      <c r="D197">
        <v>6.5788347323983906E-2</v>
      </c>
      <c r="E197">
        <v>3.2532387413084498</v>
      </c>
      <c r="F197">
        <v>393.21354231797102</v>
      </c>
      <c r="G197">
        <v>4.4741034787148196E-3</v>
      </c>
    </row>
    <row r="198" spans="1:7" x14ac:dyDescent="0.2">
      <c r="A198" t="s">
        <v>203</v>
      </c>
      <c r="B198">
        <v>0.71488654147833497</v>
      </c>
      <c r="C198">
        <v>21.565792124718399</v>
      </c>
      <c r="D198">
        <v>1.52614946064539E-2</v>
      </c>
      <c r="E198">
        <v>117.043971363455</v>
      </c>
      <c r="F198">
        <v>224.95908972341499</v>
      </c>
      <c r="G198">
        <v>2.87795686628669E-3</v>
      </c>
    </row>
    <row r="199" spans="1:7" x14ac:dyDescent="0.2">
      <c r="A199" t="s">
        <v>204</v>
      </c>
      <c r="B199">
        <v>48.407723784446702</v>
      </c>
      <c r="C199">
        <v>74.794202373363007</v>
      </c>
      <c r="D199">
        <v>2.5166707642283199E-2</v>
      </c>
      <c r="E199">
        <v>81.335523957386599</v>
      </c>
      <c r="F199">
        <v>71.523783477023201</v>
      </c>
      <c r="G199">
        <v>3.0571719445288098E-3</v>
      </c>
    </row>
    <row r="200" spans="1:7" x14ac:dyDescent="0.2">
      <c r="A200" t="s">
        <v>205</v>
      </c>
      <c r="B200">
        <v>4.3565356642939097</v>
      </c>
      <c r="C200">
        <v>97.683620884083197</v>
      </c>
      <c r="D200">
        <v>7.5481259869318404E-2</v>
      </c>
      <c r="E200">
        <v>106.27213236875799</v>
      </c>
      <c r="F200">
        <v>171.57778553664599</v>
      </c>
      <c r="G200">
        <v>1.41745284199714E-3</v>
      </c>
    </row>
    <row r="201" spans="1:7" x14ac:dyDescent="0.2">
      <c r="A201" t="s">
        <v>206</v>
      </c>
      <c r="B201">
        <v>14.903237733058599</v>
      </c>
      <c r="C201">
        <v>13.496845379471701</v>
      </c>
      <c r="D201">
        <v>1.70017314331606E-2</v>
      </c>
      <c r="E201">
        <v>46.271807514130998</v>
      </c>
      <c r="F201">
        <v>490.02384780906101</v>
      </c>
      <c r="G201">
        <v>3.2697794912382901E-3</v>
      </c>
    </row>
    <row r="202" spans="1:7" x14ac:dyDescent="0.2">
      <c r="A202" t="s">
        <v>207</v>
      </c>
      <c r="B202">
        <v>23.704865200444999</v>
      </c>
      <c r="C202">
        <v>25.694848166778598</v>
      </c>
      <c r="D202">
        <v>5.82021705830469E-2</v>
      </c>
      <c r="E202">
        <v>0.75149601325392701</v>
      </c>
      <c r="F202">
        <v>485.152477943338</v>
      </c>
      <c r="G202">
        <v>1.13892597146332E-4</v>
      </c>
    </row>
    <row r="203" spans="1:7" x14ac:dyDescent="0.2">
      <c r="A203" t="s">
        <v>208</v>
      </c>
      <c r="B203">
        <v>45.306836002971899</v>
      </c>
      <c r="C203">
        <v>68.465069013647707</v>
      </c>
      <c r="D203">
        <v>1.5323772577848199E-2</v>
      </c>
      <c r="E203">
        <v>72.276497678831205</v>
      </c>
      <c r="F203">
        <v>157.797397626563</v>
      </c>
      <c r="G203" s="1">
        <v>6.4681232906878001E-5</v>
      </c>
    </row>
    <row r="204" spans="1:7" x14ac:dyDescent="0.2">
      <c r="A204" t="s">
        <v>209</v>
      </c>
      <c r="B204">
        <v>16.9772981321439</v>
      </c>
      <c r="C204">
        <v>86.170860239304602</v>
      </c>
      <c r="D204">
        <v>5.4948269994091199E-2</v>
      </c>
      <c r="E204">
        <v>12.3449780512601</v>
      </c>
      <c r="F204">
        <v>449.84633610583802</v>
      </c>
      <c r="G204">
        <v>2.2603832930326402E-3</v>
      </c>
    </row>
    <row r="205" spans="1:7" x14ac:dyDescent="0.2">
      <c r="A205" t="s">
        <v>210</v>
      </c>
      <c r="B205">
        <v>7.0851898775435904</v>
      </c>
      <c r="C205">
        <v>80.415134543552995</v>
      </c>
      <c r="D205">
        <v>1.9481544825714001E-2</v>
      </c>
      <c r="E205">
        <v>143.79543098620999</v>
      </c>
      <c r="F205">
        <v>55.717738741077397</v>
      </c>
      <c r="G205">
        <v>3.2110562780871899E-3</v>
      </c>
    </row>
    <row r="206" spans="1:7" x14ac:dyDescent="0.2">
      <c r="A206" t="s">
        <v>211</v>
      </c>
      <c r="B206">
        <v>36.582550690509301</v>
      </c>
      <c r="C206">
        <v>80.314670007675801</v>
      </c>
      <c r="D206">
        <v>9.67307247668504E-3</v>
      </c>
      <c r="E206">
        <v>10.7378294225782</v>
      </c>
      <c r="F206">
        <v>328.37635740172101</v>
      </c>
      <c r="G206">
        <v>4.86353562679141E-3</v>
      </c>
    </row>
    <row r="207" spans="1:7" x14ac:dyDescent="0.2">
      <c r="A207" t="s">
        <v>212</v>
      </c>
      <c r="B207">
        <v>37.392752068582901</v>
      </c>
      <c r="C207">
        <v>7.5750233875587503</v>
      </c>
      <c r="D207">
        <v>9.6170581153687096E-2</v>
      </c>
      <c r="E207">
        <v>100.371363479644</v>
      </c>
      <c r="F207">
        <v>245.68502547219299</v>
      </c>
      <c r="G207" s="1">
        <v>3.2678479328751499E-6</v>
      </c>
    </row>
    <row r="208" spans="1:7" x14ac:dyDescent="0.2">
      <c r="A208" t="s">
        <v>213</v>
      </c>
      <c r="B208">
        <v>16.702036897186101</v>
      </c>
      <c r="C208">
        <v>59.080359422601703</v>
      </c>
      <c r="D208">
        <v>3.2314598835538999E-2</v>
      </c>
      <c r="E208">
        <v>108.939822670072</v>
      </c>
      <c r="F208">
        <v>39.789985292591098</v>
      </c>
      <c r="G208">
        <v>2.3250158922746701E-3</v>
      </c>
    </row>
    <row r="209" spans="1:7" x14ac:dyDescent="0.2">
      <c r="A209" t="s">
        <v>214</v>
      </c>
      <c r="B209">
        <v>28.822336701210499</v>
      </c>
      <c r="C209">
        <v>33.002994379960001</v>
      </c>
      <c r="D209">
        <v>8.8607355769351095E-2</v>
      </c>
      <c r="E209">
        <v>121.591316303238</v>
      </c>
      <c r="F209">
        <v>101.029073819518</v>
      </c>
      <c r="G209">
        <v>4.6811601612716898E-3</v>
      </c>
    </row>
    <row r="210" spans="1:7" x14ac:dyDescent="0.2">
      <c r="A210" t="s">
        <v>215</v>
      </c>
      <c r="B210">
        <v>5.6201834068633598</v>
      </c>
      <c r="C210">
        <v>74.744712415151298</v>
      </c>
      <c r="D210">
        <v>9.9646022134739901E-2</v>
      </c>
      <c r="E210">
        <v>17.767226183786899</v>
      </c>
      <c r="F210">
        <v>316.73983532469703</v>
      </c>
      <c r="G210">
        <v>4.3204662017524197E-3</v>
      </c>
    </row>
    <row r="211" spans="1:7" x14ac:dyDescent="0.2">
      <c r="A211" t="s">
        <v>216</v>
      </c>
      <c r="B211">
        <v>47.570101617835398</v>
      </c>
      <c r="C211">
        <v>4.06392659340053</v>
      </c>
      <c r="D211">
        <v>5.8567563232500099E-2</v>
      </c>
      <c r="E211">
        <v>14.350945036858301</v>
      </c>
      <c r="F211">
        <v>189.27623315248599</v>
      </c>
      <c r="G211">
        <v>2.6795270154252602E-3</v>
      </c>
    </row>
    <row r="212" spans="1:7" x14ac:dyDescent="0.2">
      <c r="A212" t="s">
        <v>217</v>
      </c>
      <c r="B212">
        <v>16.606021840125301</v>
      </c>
      <c r="C212">
        <v>35.412543370388399</v>
      </c>
      <c r="D212">
        <v>9.7435588270798304E-2</v>
      </c>
      <c r="E212">
        <v>99.153316905721994</v>
      </c>
      <c r="F212">
        <v>328.70825350284503</v>
      </c>
      <c r="G212">
        <v>4.8440319299697804E-3</v>
      </c>
    </row>
    <row r="213" spans="1:7" x14ac:dyDescent="0.2">
      <c r="A213" t="s">
        <v>218</v>
      </c>
      <c r="B213">
        <v>11.2543752701021</v>
      </c>
      <c r="C213">
        <v>90.859482556581497</v>
      </c>
      <c r="D213">
        <v>1.9851703847758402E-3</v>
      </c>
      <c r="E213">
        <v>53.675911808386402</v>
      </c>
      <c r="F213">
        <v>273.83214738219903</v>
      </c>
      <c r="G213">
        <v>4.4326991634443397E-3</v>
      </c>
    </row>
    <row r="214" spans="1:7" x14ac:dyDescent="0.2">
      <c r="A214" t="s">
        <v>219</v>
      </c>
      <c r="B214">
        <v>36.878202623222002</v>
      </c>
      <c r="C214">
        <v>40.204562674276502</v>
      </c>
      <c r="D214">
        <v>8.9965514216851394E-2</v>
      </c>
      <c r="E214">
        <v>11.2724569626152</v>
      </c>
      <c r="F214">
        <v>77.986323647201004</v>
      </c>
      <c r="G214">
        <v>7.76321147568523E-4</v>
      </c>
    </row>
    <row r="215" spans="1:7" x14ac:dyDescent="0.2">
      <c r="A215" t="s">
        <v>220</v>
      </c>
      <c r="B215">
        <v>39.743115619290599</v>
      </c>
      <c r="C215">
        <v>90.127783405594499</v>
      </c>
      <c r="D215">
        <v>6.86914322614669E-2</v>
      </c>
      <c r="E215">
        <v>49.453112902119699</v>
      </c>
      <c r="F215">
        <v>206.24156657606301</v>
      </c>
      <c r="G215">
        <v>4.43725557997822E-4</v>
      </c>
    </row>
    <row r="216" spans="1:7" x14ac:dyDescent="0.2">
      <c r="A216" t="s">
        <v>221</v>
      </c>
      <c r="B216">
        <v>1.3109334073960699</v>
      </c>
      <c r="C216">
        <v>18.100058467127301</v>
      </c>
      <c r="D216">
        <v>9.9894661753717806E-2</v>
      </c>
      <c r="E216">
        <v>22.2620460670441</v>
      </c>
      <c r="F216">
        <v>200.65306878183</v>
      </c>
      <c r="G216">
        <v>6.0605624690651899E-4</v>
      </c>
    </row>
    <row r="217" spans="1:7" x14ac:dyDescent="0.2">
      <c r="A217" t="s">
        <v>222</v>
      </c>
      <c r="B217">
        <v>11.0264338599517</v>
      </c>
      <c r="C217">
        <v>48.232693909667397</v>
      </c>
      <c r="D217">
        <v>9.3950400324910796E-2</v>
      </c>
      <c r="E217">
        <v>148.07866383343901</v>
      </c>
      <c r="F217">
        <v>131.814642469398</v>
      </c>
      <c r="G217" s="1">
        <v>8.0595943145453903E-5</v>
      </c>
    </row>
    <row r="218" spans="1:7" x14ac:dyDescent="0.2">
      <c r="A218" t="s">
        <v>223</v>
      </c>
      <c r="B218">
        <v>46.206749812699798</v>
      </c>
      <c r="C218">
        <v>11.038035734556599</v>
      </c>
      <c r="D218">
        <v>7.4413635420612998E-3</v>
      </c>
      <c r="E218">
        <v>139.46363856084599</v>
      </c>
      <c r="F218">
        <v>90.819539432413805</v>
      </c>
      <c r="G218">
        <v>2.65495215076953E-3</v>
      </c>
    </row>
    <row r="219" spans="1:7" x14ac:dyDescent="0.2">
      <c r="A219" t="s">
        <v>224</v>
      </c>
      <c r="B219">
        <v>5.0985651002265504</v>
      </c>
      <c r="C219">
        <v>8.8361275829374701</v>
      </c>
      <c r="D219">
        <v>8.4256798173580297E-2</v>
      </c>
      <c r="E219">
        <v>128.87534662149801</v>
      </c>
      <c r="F219">
        <v>231.42976395320099</v>
      </c>
      <c r="G219">
        <v>4.0337260719388703E-3</v>
      </c>
    </row>
    <row r="220" spans="1:7" x14ac:dyDescent="0.2">
      <c r="A220" t="s">
        <v>225</v>
      </c>
      <c r="B220">
        <v>22.524564936291402</v>
      </c>
      <c r="C220">
        <v>29.305394180118999</v>
      </c>
      <c r="D220">
        <v>3.2483024772722198E-2</v>
      </c>
      <c r="E220">
        <v>73.807985382154499</v>
      </c>
      <c r="F220">
        <v>397.65161315910501</v>
      </c>
      <c r="G220">
        <v>4.6739759901538403E-3</v>
      </c>
    </row>
    <row r="221" spans="1:7" x14ac:dyDescent="0.2">
      <c r="A221" t="s">
        <v>226</v>
      </c>
      <c r="B221">
        <v>9.2185220164246804</v>
      </c>
      <c r="C221">
        <v>94.484299615025506</v>
      </c>
      <c r="D221">
        <v>1.6372061427682601E-2</v>
      </c>
      <c r="E221">
        <v>21.778913168236599</v>
      </c>
      <c r="F221">
        <v>401.94775306154003</v>
      </c>
      <c r="G221">
        <v>1.45115885883569E-3</v>
      </c>
    </row>
    <row r="222" spans="1:7" x14ac:dyDescent="0.2">
      <c r="A222" t="s">
        <v>227</v>
      </c>
      <c r="B222">
        <v>26.837236789055101</v>
      </c>
      <c r="C222">
        <v>41.0644179899245</v>
      </c>
      <c r="D222">
        <v>2.68462272289209E-2</v>
      </c>
      <c r="E222">
        <v>7.2950550355017096</v>
      </c>
      <c r="F222">
        <v>343.80513859912702</v>
      </c>
      <c r="G222">
        <v>3.5284329671412699E-4</v>
      </c>
    </row>
    <row r="223" spans="1:7" x14ac:dyDescent="0.2">
      <c r="A223" t="s">
        <v>228</v>
      </c>
      <c r="B223">
        <v>42.972207233309703</v>
      </c>
      <c r="C223">
        <v>28.8817859282717</v>
      </c>
      <c r="D223">
        <v>7.1683764886762896E-2</v>
      </c>
      <c r="E223">
        <v>112.227350240573</v>
      </c>
      <c r="F223">
        <v>142.01791460625799</v>
      </c>
      <c r="G223">
        <v>1.14610183518379E-3</v>
      </c>
    </row>
    <row r="224" spans="1:7" x14ac:dyDescent="0.2">
      <c r="A224" t="s">
        <v>229</v>
      </c>
      <c r="B224">
        <v>24.766403099987599</v>
      </c>
      <c r="C224">
        <v>36.971461103297699</v>
      </c>
      <c r="D224">
        <v>2.36534174103289E-3</v>
      </c>
      <c r="E224">
        <v>95.039274590089903</v>
      </c>
      <c r="F224">
        <v>177.836882974952</v>
      </c>
      <c r="G224">
        <v>1.54645805712789E-3</v>
      </c>
    </row>
    <row r="225" spans="1:7" x14ac:dyDescent="0.2">
      <c r="A225" t="s">
        <v>230</v>
      </c>
      <c r="B225">
        <v>30.355378748848999</v>
      </c>
      <c r="C225">
        <v>19.523443038575302</v>
      </c>
      <c r="D225">
        <v>7.2271963818650697E-2</v>
      </c>
      <c r="E225">
        <v>145.7885439042</v>
      </c>
      <c r="F225">
        <v>211.54929567593999</v>
      </c>
      <c r="G225">
        <v>4.9860036652535199E-3</v>
      </c>
    </row>
    <row r="226" spans="1:7" x14ac:dyDescent="0.2">
      <c r="A226" t="s">
        <v>231</v>
      </c>
      <c r="B226">
        <v>39.260560589842498</v>
      </c>
      <c r="C226">
        <v>62.973370744846697</v>
      </c>
      <c r="D226">
        <v>2.8012910505477301E-2</v>
      </c>
      <c r="E226">
        <v>34.949016664177101</v>
      </c>
      <c r="F226">
        <v>379.216615334153</v>
      </c>
      <c r="G226">
        <v>1.52586097829043E-3</v>
      </c>
    </row>
    <row r="227" spans="1:7" x14ac:dyDescent="0.2">
      <c r="A227" t="s">
        <v>232</v>
      </c>
      <c r="B227">
        <v>1.44124495331197</v>
      </c>
      <c r="C227">
        <v>81.682920356281102</v>
      </c>
      <c r="D227">
        <v>6.7413520989846404E-2</v>
      </c>
      <c r="E227">
        <v>132.77122196741399</v>
      </c>
      <c r="F227">
        <v>115.999413039535</v>
      </c>
      <c r="G227">
        <v>4.6719357976689902E-3</v>
      </c>
    </row>
    <row r="228" spans="1:7" x14ac:dyDescent="0.2">
      <c r="A228" t="s">
        <v>233</v>
      </c>
      <c r="B228">
        <v>42.202066838741302</v>
      </c>
      <c r="C228">
        <v>5.3793849917128602</v>
      </c>
      <c r="D228">
        <v>1.38209706682711E-2</v>
      </c>
      <c r="E228">
        <v>91.589142847806201</v>
      </c>
      <c r="F228">
        <v>366.80840009823402</v>
      </c>
      <c r="G228">
        <v>1.84234706684947E-4</v>
      </c>
    </row>
    <row r="229" spans="1:7" x14ac:dyDescent="0.2">
      <c r="A229" t="s">
        <v>234</v>
      </c>
      <c r="B229">
        <v>43.6791515396907</v>
      </c>
      <c r="C229">
        <v>8.4720574393868393</v>
      </c>
      <c r="D229">
        <v>2.5999740985967201E-2</v>
      </c>
      <c r="E229">
        <v>75.415594037622199</v>
      </c>
      <c r="F229">
        <v>215.632459898479</v>
      </c>
      <c r="G229">
        <v>4.7867420176044102E-3</v>
      </c>
    </row>
    <row r="230" spans="1:7" x14ac:dyDescent="0.2">
      <c r="A230" t="s">
        <v>235</v>
      </c>
      <c r="B230">
        <v>2.1974473786540298</v>
      </c>
      <c r="C230">
        <v>5.0059773828834198</v>
      </c>
      <c r="D230">
        <v>3.1580272653605697E-2</v>
      </c>
      <c r="E230">
        <v>26.6805980354547</v>
      </c>
      <c r="F230">
        <v>18.353481530211798</v>
      </c>
      <c r="G230">
        <v>3.75680898316204E-3</v>
      </c>
    </row>
    <row r="231" spans="1:7" x14ac:dyDescent="0.2">
      <c r="A231" t="s">
        <v>236</v>
      </c>
      <c r="B231">
        <v>0.50609374418854702</v>
      </c>
      <c r="C231">
        <v>76.201912140473695</v>
      </c>
      <c r="D231">
        <v>9.1112260883580903E-2</v>
      </c>
      <c r="E231">
        <v>44.135436275973902</v>
      </c>
      <c r="F231">
        <v>138.89982529915801</v>
      </c>
      <c r="G231">
        <v>2.9897878784686301E-3</v>
      </c>
    </row>
    <row r="232" spans="1:7" x14ac:dyDescent="0.2">
      <c r="A232" t="s">
        <v>237</v>
      </c>
      <c r="B232">
        <v>0.60384955490007997</v>
      </c>
      <c r="C232">
        <v>5.92204475030303</v>
      </c>
      <c r="D232">
        <v>2.6187007718160699E-2</v>
      </c>
      <c r="E232">
        <v>53.629649989306898</v>
      </c>
      <c r="F232">
        <v>458.12678213696898</v>
      </c>
      <c r="G232">
        <v>4.3170919176191002E-4</v>
      </c>
    </row>
    <row r="233" spans="1:7" x14ac:dyDescent="0.2">
      <c r="A233" t="s">
        <v>238</v>
      </c>
      <c r="B233">
        <v>14.612520486582</v>
      </c>
      <c r="C233">
        <v>40.604662638157599</v>
      </c>
      <c r="D233">
        <v>7.6216344506200406E-2</v>
      </c>
      <c r="E233">
        <v>19.4718921091407</v>
      </c>
      <c r="F233">
        <v>193.95415621809599</v>
      </c>
      <c r="G233">
        <v>4.9952398007735597E-3</v>
      </c>
    </row>
    <row r="234" spans="1:7" x14ac:dyDescent="0.2">
      <c r="A234" t="s">
        <v>239</v>
      </c>
      <c r="B234">
        <v>3.7147865467704801</v>
      </c>
      <c r="C234">
        <v>41.161857966333599</v>
      </c>
      <c r="D234">
        <v>4.2896927271783299E-2</v>
      </c>
      <c r="E234">
        <v>137.86240769550199</v>
      </c>
      <c r="F234">
        <v>71.075089452788205</v>
      </c>
      <c r="G234">
        <v>1.5518500981852399E-3</v>
      </c>
    </row>
    <row r="235" spans="1:7" x14ac:dyDescent="0.2">
      <c r="A235" t="s">
        <v>240</v>
      </c>
      <c r="B235">
        <v>29.889139135833801</v>
      </c>
      <c r="C235">
        <v>33.956351124681497</v>
      </c>
      <c r="D235">
        <v>2.8458415331039499E-2</v>
      </c>
      <c r="E235">
        <v>41.781451832503002</v>
      </c>
      <c r="F235">
        <v>64.619456999935196</v>
      </c>
      <c r="G235">
        <v>1.44133746158331E-3</v>
      </c>
    </row>
    <row r="236" spans="1:7" x14ac:dyDescent="0.2">
      <c r="A236" t="s">
        <v>241</v>
      </c>
      <c r="B236">
        <v>27.029633724596302</v>
      </c>
      <c r="C236">
        <v>4.6533918799832401</v>
      </c>
      <c r="D236">
        <v>8.9034185595624094E-2</v>
      </c>
      <c r="E236">
        <v>63.405698211863601</v>
      </c>
      <c r="F236">
        <v>159.053744869306</v>
      </c>
      <c r="G236" s="1">
        <v>9.6483407542109493E-5</v>
      </c>
    </row>
    <row r="237" spans="1:7" x14ac:dyDescent="0.2">
      <c r="A237" t="s">
        <v>242</v>
      </c>
      <c r="B237">
        <v>4.8597110640257597</v>
      </c>
      <c r="C237">
        <v>60.115889973938401</v>
      </c>
      <c r="D237">
        <v>3.1329025706183102E-2</v>
      </c>
      <c r="E237">
        <v>12.9733021371066</v>
      </c>
      <c r="F237">
        <v>499.04868405777898</v>
      </c>
      <c r="G237" s="1">
        <v>4.7281542792916201E-5</v>
      </c>
    </row>
    <row r="238" spans="1:7" x14ac:dyDescent="0.2">
      <c r="A238" t="s">
        <v>243</v>
      </c>
      <c r="B238">
        <v>41.925842657219597</v>
      </c>
      <c r="C238">
        <v>20.637263339944099</v>
      </c>
      <c r="D238">
        <v>2.7871410277206399E-2</v>
      </c>
      <c r="E238">
        <v>2.1783448755741099E-2</v>
      </c>
      <c r="F238">
        <v>133.447833629325</v>
      </c>
      <c r="G238">
        <v>2.7378292288631201E-3</v>
      </c>
    </row>
    <row r="239" spans="1:7" x14ac:dyDescent="0.2">
      <c r="A239" t="s">
        <v>244</v>
      </c>
      <c r="B239">
        <v>25.795000740326898</v>
      </c>
      <c r="C239">
        <v>96.684417777694705</v>
      </c>
      <c r="D239">
        <v>4.0045327301975298E-2</v>
      </c>
      <c r="E239">
        <v>65.400974638760005</v>
      </c>
      <c r="F239">
        <v>230.20323963835801</v>
      </c>
      <c r="G239">
        <v>1.1287834448739801E-3</v>
      </c>
    </row>
    <row r="240" spans="1:7" x14ac:dyDescent="0.2">
      <c r="A240" t="s">
        <v>245</v>
      </c>
      <c r="B240">
        <v>18.034025540109699</v>
      </c>
      <c r="C240">
        <v>18.823124752379901</v>
      </c>
      <c r="D240">
        <v>2.4863926323410099E-2</v>
      </c>
      <c r="E240">
        <v>125.115615874528</v>
      </c>
      <c r="F240">
        <v>295.90674707200299</v>
      </c>
      <c r="G240">
        <v>3.6330187693238203E-4</v>
      </c>
    </row>
    <row r="241" spans="1:7" x14ac:dyDescent="0.2">
      <c r="A241" t="s">
        <v>246</v>
      </c>
      <c r="B241">
        <v>33.817502417135898</v>
      </c>
      <c r="C241">
        <v>92.443581286817704</v>
      </c>
      <c r="D241">
        <v>9.1405776156857604E-2</v>
      </c>
      <c r="E241">
        <v>8.4236470051109702</v>
      </c>
      <c r="F241">
        <v>366.486646276898</v>
      </c>
      <c r="G241">
        <v>3.2199466135352799E-3</v>
      </c>
    </row>
    <row r="242" spans="1:7" x14ac:dyDescent="0.2">
      <c r="A242" t="s">
        <v>247</v>
      </c>
      <c r="B242">
        <v>28.977321908809198</v>
      </c>
      <c r="C242">
        <v>46.520835939794701</v>
      </c>
      <c r="D242">
        <v>9.6012344954535297E-2</v>
      </c>
      <c r="E242">
        <v>33.526192652061503</v>
      </c>
      <c r="F242">
        <v>291.923628891818</v>
      </c>
      <c r="G242">
        <v>1.2663391232490501E-3</v>
      </c>
    </row>
    <row r="243" spans="1:7" x14ac:dyDescent="0.2">
      <c r="A243" t="s">
        <v>248</v>
      </c>
      <c r="B243">
        <v>45.275966530665698</v>
      </c>
      <c r="C243">
        <v>49.859586136415601</v>
      </c>
      <c r="D243">
        <v>9.9961235341522806E-2</v>
      </c>
      <c r="E243">
        <v>0.86875520646572102</v>
      </c>
      <c r="F243">
        <v>431.14784949459101</v>
      </c>
      <c r="G243">
        <v>3.2519005518406598E-3</v>
      </c>
    </row>
    <row r="244" spans="1:7" x14ac:dyDescent="0.2">
      <c r="A244" t="s">
        <v>249</v>
      </c>
      <c r="B244">
        <v>2.9812321746721802</v>
      </c>
      <c r="C244">
        <v>21.191970441490401</v>
      </c>
      <c r="D244">
        <v>6.2070174615364501E-2</v>
      </c>
      <c r="E244">
        <v>33.407779550179797</v>
      </c>
      <c r="F244">
        <v>351.59380782395601</v>
      </c>
      <c r="G244">
        <v>4.4431849522516102E-3</v>
      </c>
    </row>
    <row r="245" spans="1:7" x14ac:dyDescent="0.2">
      <c r="A245" t="s">
        <v>250</v>
      </c>
      <c r="B245">
        <v>25.379113947972598</v>
      </c>
      <c r="C245">
        <v>83.157788362353998</v>
      </c>
      <c r="D245">
        <v>7.08646741072647E-2</v>
      </c>
      <c r="E245">
        <v>25.736673222854701</v>
      </c>
      <c r="F245">
        <v>166.292511373758</v>
      </c>
      <c r="G245">
        <v>2.7732379548251599E-3</v>
      </c>
    </row>
    <row r="246" spans="1:7" x14ac:dyDescent="0.2">
      <c r="A246" t="s">
        <v>251</v>
      </c>
      <c r="B246">
        <v>46.741539806593202</v>
      </c>
      <c r="C246">
        <v>12.4559605354443</v>
      </c>
      <c r="D246">
        <v>8.3945892120059498E-2</v>
      </c>
      <c r="E246">
        <v>54.359018895775002</v>
      </c>
      <c r="F246">
        <v>335.25034015066899</v>
      </c>
      <c r="G246">
        <v>3.0592637881636602E-3</v>
      </c>
    </row>
    <row r="247" spans="1:7" x14ac:dyDescent="0.2">
      <c r="A247" t="s">
        <v>252</v>
      </c>
      <c r="B247">
        <v>13.2541909124702</v>
      </c>
      <c r="C247">
        <v>92.298919679597006</v>
      </c>
      <c r="D247">
        <v>3.39801555754616E-2</v>
      </c>
      <c r="E247">
        <v>90.753491688519702</v>
      </c>
      <c r="F247">
        <v>126.954097840934</v>
      </c>
      <c r="G247">
        <v>4.4811808597296403E-3</v>
      </c>
    </row>
    <row r="248" spans="1:7" x14ac:dyDescent="0.2">
      <c r="A248" t="s">
        <v>253</v>
      </c>
      <c r="B248">
        <v>23.643262344412499</v>
      </c>
      <c r="C248">
        <v>12.547358031384601</v>
      </c>
      <c r="D248">
        <v>9.9998021988198099E-2</v>
      </c>
      <c r="E248">
        <v>110.155266802757</v>
      </c>
      <c r="F248">
        <v>62.579276487231198</v>
      </c>
      <c r="G248">
        <v>3.7846948485821398E-3</v>
      </c>
    </row>
    <row r="249" spans="1:7" x14ac:dyDescent="0.2">
      <c r="A249" t="s">
        <v>254</v>
      </c>
      <c r="B249">
        <v>44.262079872190903</v>
      </c>
      <c r="C249">
        <v>61.262189253233302</v>
      </c>
      <c r="D249">
        <v>4.5858030756469798E-2</v>
      </c>
      <c r="E249">
        <v>21.172678051516399</v>
      </c>
      <c r="F249">
        <v>257.89364683907399</v>
      </c>
      <c r="G249">
        <v>4.2594350501894904E-3</v>
      </c>
    </row>
    <row r="250" spans="1:7" x14ac:dyDescent="0.2">
      <c r="A250" t="s">
        <v>255</v>
      </c>
      <c r="B250">
        <v>8.6335324859246594</v>
      </c>
      <c r="C250">
        <v>69.250230876728807</v>
      </c>
      <c r="D250">
        <v>4.2082697600498799E-2</v>
      </c>
      <c r="E250">
        <v>113.75166778452601</v>
      </c>
      <c r="F250">
        <v>196.22638372704299</v>
      </c>
      <c r="G250">
        <v>3.52566715795546E-3</v>
      </c>
    </row>
    <row r="251" spans="1:7" x14ac:dyDescent="0.2">
      <c r="A251" t="s">
        <v>256</v>
      </c>
      <c r="B251">
        <v>2.1613502977415902</v>
      </c>
      <c r="C251">
        <v>44.936737209558402</v>
      </c>
      <c r="D251">
        <v>9.8173118698410694E-3</v>
      </c>
      <c r="E251">
        <v>63.750071357935603</v>
      </c>
      <c r="F251">
        <v>324.18994328938402</v>
      </c>
      <c r="G251">
        <v>1.36572341434657E-4</v>
      </c>
    </row>
    <row r="252" spans="1:7" x14ac:dyDescent="0.2">
      <c r="A252" t="s">
        <v>257</v>
      </c>
      <c r="B252">
        <v>49.631592401768998</v>
      </c>
      <c r="C252">
        <v>51.139787173829902</v>
      </c>
      <c r="D252">
        <v>2.1290934563893801E-2</v>
      </c>
      <c r="E252">
        <v>56.6017327364534</v>
      </c>
      <c r="F252">
        <v>232.41294853389201</v>
      </c>
      <c r="G252">
        <v>4.0532103786244901E-3</v>
      </c>
    </row>
    <row r="253" spans="1:7" x14ac:dyDescent="0.2">
      <c r="A253" t="s">
        <v>258</v>
      </c>
      <c r="B253">
        <v>2.5927878841757699</v>
      </c>
      <c r="C253">
        <v>11.486640674062</v>
      </c>
      <c r="D253">
        <v>4.8301856429316101E-2</v>
      </c>
      <c r="E253">
        <v>111.494199838489</v>
      </c>
      <c r="F253">
        <v>385.82430609967503</v>
      </c>
      <c r="G253">
        <v>2.2116698790341599E-4</v>
      </c>
    </row>
    <row r="254" spans="1:7" x14ac:dyDescent="0.2">
      <c r="A254" t="s">
        <v>259</v>
      </c>
      <c r="B254">
        <v>33.834016849286797</v>
      </c>
      <c r="C254">
        <v>24.337959186173901</v>
      </c>
      <c r="D254">
        <v>1.9269626726023802E-2</v>
      </c>
      <c r="E254">
        <v>68.1195009034127</v>
      </c>
      <c r="F254">
        <v>93.513447106815804</v>
      </c>
      <c r="G254" s="1">
        <v>3.7612416781485001E-5</v>
      </c>
    </row>
    <row r="255" spans="1:7" x14ac:dyDescent="0.2">
      <c r="A255" t="s">
        <v>260</v>
      </c>
      <c r="B255">
        <v>32.649327728431601</v>
      </c>
      <c r="C255">
        <v>50.531230761669498</v>
      </c>
      <c r="D255">
        <v>5.97744517853483E-2</v>
      </c>
      <c r="E255">
        <v>100.149068143218</v>
      </c>
      <c r="F255">
        <v>108.175887688994</v>
      </c>
      <c r="G255">
        <v>2.48442128766328E-3</v>
      </c>
    </row>
    <row r="256" spans="1:7" x14ac:dyDescent="0.2">
      <c r="A256" t="s">
        <v>261</v>
      </c>
      <c r="B256">
        <v>12.733591103460601</v>
      </c>
      <c r="C256">
        <v>72.837960016913698</v>
      </c>
      <c r="D256">
        <v>8.3528945002704802E-2</v>
      </c>
      <c r="E256">
        <v>122.808593697845</v>
      </c>
      <c r="F256">
        <v>26.474063117057</v>
      </c>
      <c r="G256">
        <v>3.2633127598091899E-3</v>
      </c>
    </row>
    <row r="257" spans="1:7" x14ac:dyDescent="0.2">
      <c r="A257" t="s">
        <v>262</v>
      </c>
      <c r="B257">
        <v>20.100188283715301</v>
      </c>
      <c r="C257">
        <v>82.574472509324494</v>
      </c>
      <c r="D257">
        <v>9.4897133877500893E-3</v>
      </c>
      <c r="E257">
        <v>117.997387284412</v>
      </c>
      <c r="F257">
        <v>85.885706511326106</v>
      </c>
      <c r="G257">
        <v>5.0887192133814102E-4</v>
      </c>
    </row>
    <row r="258" spans="1:7" x14ac:dyDescent="0.2">
      <c r="A258" t="s">
        <v>263</v>
      </c>
      <c r="B258">
        <v>2.92140782857313</v>
      </c>
      <c r="C258">
        <v>31.914032096043201</v>
      </c>
      <c r="D258">
        <v>8.3805720862653102E-2</v>
      </c>
      <c r="E258">
        <v>70.459398301318203</v>
      </c>
      <c r="F258">
        <v>51.6833102190867</v>
      </c>
      <c r="G258">
        <v>7.3933516629040195E-4</v>
      </c>
    </row>
    <row r="259" spans="1:7" x14ac:dyDescent="0.2">
      <c r="A259" t="s">
        <v>264</v>
      </c>
      <c r="B259">
        <v>10.0805591288954</v>
      </c>
      <c r="C259">
        <v>37.650467235594903</v>
      </c>
      <c r="D259">
        <v>5.35879562952555E-2</v>
      </c>
      <c r="E259">
        <v>28.126161172985999</v>
      </c>
      <c r="F259">
        <v>114.912890037521</v>
      </c>
      <c r="G259">
        <v>4.3832395691424599E-4</v>
      </c>
    </row>
    <row r="260" spans="1:7" x14ac:dyDescent="0.2">
      <c r="A260" t="s">
        <v>265</v>
      </c>
      <c r="B260">
        <v>14.948432003613499</v>
      </c>
      <c r="C260">
        <v>5.9936774084344497</v>
      </c>
      <c r="D260">
        <v>6.2705251961760203E-2</v>
      </c>
      <c r="E260">
        <v>142.82052791677401</v>
      </c>
      <c r="F260">
        <v>134.33505726512499</v>
      </c>
      <c r="G260">
        <v>4.73491149488836E-3</v>
      </c>
    </row>
    <row r="261" spans="1:7" x14ac:dyDescent="0.2">
      <c r="A261" t="s">
        <v>266</v>
      </c>
      <c r="B261">
        <v>10.198013669345499</v>
      </c>
      <c r="C261">
        <v>65.284693377092395</v>
      </c>
      <c r="D261">
        <v>1.2137222732510399E-2</v>
      </c>
      <c r="E261">
        <v>40.812002168968299</v>
      </c>
      <c r="F261">
        <v>441.29120701923898</v>
      </c>
      <c r="G261">
        <v>4.94216070044785E-3</v>
      </c>
    </row>
    <row r="262" spans="1:7" x14ac:dyDescent="0.2">
      <c r="A262" t="s">
        <v>267</v>
      </c>
      <c r="B262">
        <v>6.5879296287894196</v>
      </c>
      <c r="C262">
        <v>47.220124433748403</v>
      </c>
      <c r="D262">
        <v>9.9443011321779295E-2</v>
      </c>
      <c r="E262">
        <v>78.690133849158798</v>
      </c>
      <c r="F262">
        <v>16.179539370350501</v>
      </c>
      <c r="G262">
        <v>4.7726406902074796E-3</v>
      </c>
    </row>
    <row r="263" spans="1:7" x14ac:dyDescent="0.2">
      <c r="A263" t="s">
        <v>268</v>
      </c>
      <c r="B263">
        <v>36.4240930574014</v>
      </c>
      <c r="C263">
        <v>32.228257215581799</v>
      </c>
      <c r="D263">
        <v>7.0354756434541199E-2</v>
      </c>
      <c r="E263">
        <v>44.690147414803498</v>
      </c>
      <c r="F263">
        <v>458.95472262520298</v>
      </c>
      <c r="G263">
        <v>4.9784790910780401E-3</v>
      </c>
    </row>
    <row r="264" spans="1:7" x14ac:dyDescent="0.2">
      <c r="A264" t="s">
        <v>269</v>
      </c>
      <c r="B264">
        <v>19.779752785805599</v>
      </c>
      <c r="C264">
        <v>1.50517030525952</v>
      </c>
      <c r="D264">
        <v>6.8201678307075006E-2</v>
      </c>
      <c r="E264">
        <v>80.446367617696495</v>
      </c>
      <c r="F264">
        <v>22.185552283190098</v>
      </c>
      <c r="G264" s="1">
        <v>4.0815258398651998E-5</v>
      </c>
    </row>
    <row r="265" spans="1:7" x14ac:dyDescent="0.2">
      <c r="A265" t="s">
        <v>270</v>
      </c>
      <c r="B265">
        <v>43.940267491619998</v>
      </c>
      <c r="C265">
        <v>46.644672121852601</v>
      </c>
      <c r="D265">
        <v>5.4306323919445197E-3</v>
      </c>
      <c r="E265">
        <v>65.929026296362196</v>
      </c>
      <c r="F265">
        <v>58.536366103216999</v>
      </c>
      <c r="G265">
        <v>4.3977994937449598E-3</v>
      </c>
    </row>
    <row r="266" spans="1:7" x14ac:dyDescent="0.2">
      <c r="A266" t="s">
        <v>271</v>
      </c>
      <c r="B266">
        <v>10.141203786712101</v>
      </c>
      <c r="C266">
        <v>15.313159355893699</v>
      </c>
      <c r="D266">
        <v>7.5558254397381105E-2</v>
      </c>
      <c r="E266">
        <v>66.368251573294401</v>
      </c>
      <c r="F266">
        <v>299.73049224819903</v>
      </c>
      <c r="G266">
        <v>4.0788342617452096E-3</v>
      </c>
    </row>
    <row r="267" spans="1:7" x14ac:dyDescent="0.2">
      <c r="A267" t="s">
        <v>272</v>
      </c>
      <c r="B267">
        <v>28.1792562482878</v>
      </c>
      <c r="C267">
        <v>75.217611932195695</v>
      </c>
      <c r="D267">
        <v>4.3077650934457701E-2</v>
      </c>
      <c r="E267">
        <v>4.4987054541707003</v>
      </c>
      <c r="F267">
        <v>470.00910973176298</v>
      </c>
      <c r="G267">
        <v>4.6964901592582396E-3</v>
      </c>
    </row>
    <row r="268" spans="1:7" x14ac:dyDescent="0.2">
      <c r="A268" t="s">
        <v>273</v>
      </c>
      <c r="B268">
        <v>48.863819727208401</v>
      </c>
      <c r="C268">
        <v>15.8786680735647</v>
      </c>
      <c r="D268">
        <v>5.6548984418250597E-2</v>
      </c>
      <c r="E268">
        <v>89.506683312356401</v>
      </c>
      <c r="F268">
        <v>38.910676194354799</v>
      </c>
      <c r="G268">
        <v>4.6881551202386596E-3</v>
      </c>
    </row>
    <row r="269" spans="1:7" x14ac:dyDescent="0.2">
      <c r="A269" t="s">
        <v>274</v>
      </c>
      <c r="B269">
        <v>21.2507885522209</v>
      </c>
      <c r="C269">
        <v>10.787496566772401</v>
      </c>
      <c r="D269">
        <v>8.1250853831227807E-2</v>
      </c>
      <c r="E269">
        <v>87.712014187127295</v>
      </c>
      <c r="F269">
        <v>415.915608732029</v>
      </c>
      <c r="G269">
        <v>4.9692525388672897E-3</v>
      </c>
    </row>
    <row r="270" spans="1:7" x14ac:dyDescent="0.2">
      <c r="A270" t="s">
        <v>275</v>
      </c>
      <c r="B270">
        <v>17.965834881178999</v>
      </c>
      <c r="C270">
        <v>30.077484808862199</v>
      </c>
      <c r="D270">
        <v>1.75511709880083E-3</v>
      </c>
      <c r="E270">
        <v>148.952450137585</v>
      </c>
      <c r="F270">
        <v>42.997042457573102</v>
      </c>
      <c r="G270">
        <v>4.9615240609273302E-3</v>
      </c>
    </row>
    <row r="271" spans="1:7" x14ac:dyDescent="0.2">
      <c r="A271" t="s">
        <v>276</v>
      </c>
      <c r="B271">
        <v>15.9962000623345</v>
      </c>
      <c r="C271">
        <v>55.423887293785803</v>
      </c>
      <c r="D271">
        <v>8.9665068645216506E-2</v>
      </c>
      <c r="E271">
        <v>57.331446418538597</v>
      </c>
      <c r="F271">
        <v>356.83692968916102</v>
      </c>
      <c r="G271">
        <v>1.3769279140979E-3</v>
      </c>
    </row>
    <row r="272" spans="1:7" x14ac:dyDescent="0.2">
      <c r="A272" t="s">
        <v>277</v>
      </c>
      <c r="B272">
        <v>49.862291587982298</v>
      </c>
      <c r="C272">
        <v>58.444257335737298</v>
      </c>
      <c r="D272">
        <v>8.4950096799433203E-2</v>
      </c>
      <c r="E272">
        <v>38.435083720832999</v>
      </c>
      <c r="F272">
        <v>109.163427478633</v>
      </c>
      <c r="G272">
        <v>6.2023151200264596E-4</v>
      </c>
    </row>
    <row r="273" spans="1:7" x14ac:dyDescent="0.2">
      <c r="A273" t="s">
        <v>278</v>
      </c>
      <c r="B273">
        <v>27.496991965454001</v>
      </c>
      <c r="C273">
        <v>62.644068006425996</v>
      </c>
      <c r="D273">
        <v>8.2539469719398698E-2</v>
      </c>
      <c r="E273">
        <v>71.385480416938606</v>
      </c>
      <c r="F273">
        <v>242.70035768859</v>
      </c>
      <c r="G273">
        <v>4.8712232755497098E-3</v>
      </c>
    </row>
    <row r="274" spans="1:7" x14ac:dyDescent="0.2">
      <c r="A274" t="s">
        <v>279</v>
      </c>
      <c r="B274">
        <v>37.208337843883697</v>
      </c>
      <c r="C274">
        <v>43.800711327232399</v>
      </c>
      <c r="D274">
        <v>4.7877437525894399E-2</v>
      </c>
      <c r="E274">
        <v>52.023901557549799</v>
      </c>
      <c r="F274">
        <v>185.943583631888</v>
      </c>
      <c r="G274">
        <v>4.3311602668836702E-3</v>
      </c>
    </row>
    <row r="275" spans="1:7" x14ac:dyDescent="0.2">
      <c r="A275" t="s">
        <v>280</v>
      </c>
      <c r="B275">
        <v>7.7770485896617103</v>
      </c>
      <c r="C275">
        <v>57.646965517662402</v>
      </c>
      <c r="D275">
        <v>3.0744282472878603E-4</v>
      </c>
      <c r="E275">
        <v>70.653782458975897</v>
      </c>
      <c r="F275">
        <v>376.12104420084501</v>
      </c>
      <c r="G275">
        <v>2.1986053418368099E-3</v>
      </c>
    </row>
    <row r="276" spans="1:7" x14ac:dyDescent="0.2">
      <c r="A276" t="s">
        <v>281</v>
      </c>
      <c r="B276">
        <v>21.141106273978899</v>
      </c>
      <c r="C276">
        <v>54.8281114986166</v>
      </c>
      <c r="D276">
        <v>2.3269669186696401E-2</v>
      </c>
      <c r="E276">
        <v>29.6313784550875</v>
      </c>
      <c r="F276">
        <v>209.48754825163601</v>
      </c>
      <c r="G276">
        <v>4.8285305034369199E-4</v>
      </c>
    </row>
    <row r="277" spans="1:7" x14ac:dyDescent="0.2">
      <c r="A277" t="s">
        <v>282</v>
      </c>
      <c r="B277">
        <v>39.032115117181</v>
      </c>
      <c r="C277">
        <v>30.599208224564698</v>
      </c>
      <c r="D277">
        <v>5.2969004676118397E-2</v>
      </c>
      <c r="E277">
        <v>85.415304405614705</v>
      </c>
      <c r="F277">
        <v>275.55918782949402</v>
      </c>
      <c r="G277" s="1">
        <v>9.7967274487018502E-5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9A26-E142-F243-A392-580E06D5668E}">
  <dimension ref="A1:K9"/>
  <sheetViews>
    <sheetView workbookViewId="0">
      <selection activeCell="C9" sqref="C9"/>
    </sheetView>
  </sheetViews>
  <sheetFormatPr baseColWidth="10" defaultRowHeight="16" x14ac:dyDescent="0.2"/>
  <sheetData>
    <row r="1" spans="1:11" x14ac:dyDescent="0.2">
      <c r="E1" t="s">
        <v>289</v>
      </c>
      <c r="J1" t="s">
        <v>291</v>
      </c>
      <c r="K1" t="s">
        <v>292</v>
      </c>
    </row>
    <row r="2" spans="1:11" x14ac:dyDescent="0.2">
      <c r="D2" t="s">
        <v>287</v>
      </c>
      <c r="E2" t="s">
        <v>288</v>
      </c>
      <c r="J2">
        <v>500</v>
      </c>
      <c r="K2">
        <v>20</v>
      </c>
    </row>
    <row r="4" spans="1:11" x14ac:dyDescent="0.2">
      <c r="D4" t="s">
        <v>290</v>
      </c>
      <c r="E4">
        <v>3.33</v>
      </c>
    </row>
    <row r="6" spans="1:11" x14ac:dyDescent="0.2">
      <c r="G6" t="s">
        <v>286</v>
      </c>
    </row>
    <row r="7" spans="1:11" x14ac:dyDescent="0.2">
      <c r="A7" t="s">
        <v>293</v>
      </c>
      <c r="B7">
        <f>145+187.69</f>
        <v>332.69</v>
      </c>
      <c r="D7" t="s">
        <v>283</v>
      </c>
      <c r="E7">
        <v>1.45</v>
      </c>
      <c r="G7">
        <f>E7+E8</f>
        <v>3.33</v>
      </c>
    </row>
    <row r="8" spans="1:11" x14ac:dyDescent="0.2">
      <c r="D8" t="s">
        <v>284</v>
      </c>
      <c r="E8">
        <v>1.88</v>
      </c>
    </row>
    <row r="9" spans="1:11" x14ac:dyDescent="0.2">
      <c r="B9" t="s">
        <v>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1C29-A69E-7949-9569-76158D6F5825}">
  <dimension ref="B3:J79"/>
  <sheetViews>
    <sheetView zoomScaleNormal="100" workbookViewId="0">
      <selection activeCell="B3" sqref="B3:C5"/>
    </sheetView>
  </sheetViews>
  <sheetFormatPr baseColWidth="10" defaultRowHeight="16" x14ac:dyDescent="0.2"/>
  <sheetData>
    <row r="3" spans="2:10" x14ac:dyDescent="0.2">
      <c r="C3" t="s">
        <v>295</v>
      </c>
      <c r="G3" t="s">
        <v>299</v>
      </c>
    </row>
    <row r="4" spans="2:10" x14ac:dyDescent="0.2">
      <c r="B4" t="s">
        <v>296</v>
      </c>
      <c r="C4">
        <v>50</v>
      </c>
      <c r="H4" t="s">
        <v>290</v>
      </c>
      <c r="I4" t="s">
        <v>303</v>
      </c>
      <c r="J4" t="s">
        <v>304</v>
      </c>
    </row>
    <row r="5" spans="2:10" x14ac:dyDescent="0.2">
      <c r="B5" t="s">
        <v>297</v>
      </c>
      <c r="C5">
        <v>500</v>
      </c>
      <c r="F5" t="s">
        <v>302</v>
      </c>
      <c r="H5">
        <v>0.5</v>
      </c>
      <c r="I5">
        <f>H5*1000/C$5</f>
        <v>1</v>
      </c>
      <c r="J5">
        <f>H5*1000/C$4</f>
        <v>10</v>
      </c>
    </row>
    <row r="6" spans="2:10" x14ac:dyDescent="0.2">
      <c r="H6">
        <f>2+H5</f>
        <v>2.5</v>
      </c>
      <c r="I6">
        <f t="shared" ref="I6:I69" si="0">H6*1000/C$5</f>
        <v>5</v>
      </c>
      <c r="J6">
        <f t="shared" ref="J6:J69" si="1">H6*1000/C$4</f>
        <v>50</v>
      </c>
    </row>
    <row r="7" spans="2:10" x14ac:dyDescent="0.2">
      <c r="H7">
        <f>1+H6</f>
        <v>3.5</v>
      </c>
      <c r="I7">
        <f t="shared" si="0"/>
        <v>7</v>
      </c>
      <c r="J7">
        <f t="shared" si="1"/>
        <v>70</v>
      </c>
    </row>
    <row r="8" spans="2:10" x14ac:dyDescent="0.2">
      <c r="C8" t="s">
        <v>290</v>
      </c>
      <c r="H8">
        <f t="shared" ref="H8:H30" si="2">1+H7</f>
        <v>4.5</v>
      </c>
      <c r="I8">
        <f t="shared" si="0"/>
        <v>9</v>
      </c>
      <c r="J8">
        <f t="shared" si="1"/>
        <v>90</v>
      </c>
    </row>
    <row r="9" spans="2:10" x14ac:dyDescent="0.2">
      <c r="B9" t="s">
        <v>298</v>
      </c>
      <c r="C9">
        <v>0.5</v>
      </c>
      <c r="H9">
        <f t="shared" si="2"/>
        <v>5.5</v>
      </c>
      <c r="I9">
        <f t="shared" si="0"/>
        <v>11</v>
      </c>
      <c r="J9">
        <f t="shared" si="1"/>
        <v>110</v>
      </c>
    </row>
    <row r="10" spans="2:10" x14ac:dyDescent="0.2">
      <c r="B10" t="s">
        <v>299</v>
      </c>
      <c r="C10">
        <v>50</v>
      </c>
      <c r="H10">
        <f t="shared" si="2"/>
        <v>6.5</v>
      </c>
      <c r="I10">
        <f t="shared" si="0"/>
        <v>13</v>
      </c>
      <c r="J10">
        <f t="shared" si="1"/>
        <v>130</v>
      </c>
    </row>
    <row r="11" spans="2:10" x14ac:dyDescent="0.2">
      <c r="H11">
        <f t="shared" si="2"/>
        <v>7.5</v>
      </c>
      <c r="I11">
        <f t="shared" si="0"/>
        <v>15</v>
      </c>
      <c r="J11">
        <f t="shared" si="1"/>
        <v>150</v>
      </c>
    </row>
    <row r="12" spans="2:10" x14ac:dyDescent="0.2">
      <c r="B12" t="s">
        <v>300</v>
      </c>
      <c r="C12">
        <f>C10-C9</f>
        <v>49.5</v>
      </c>
      <c r="H12">
        <f t="shared" si="2"/>
        <v>8.5</v>
      </c>
      <c r="I12">
        <f t="shared" si="0"/>
        <v>17</v>
      </c>
      <c r="J12">
        <f t="shared" si="1"/>
        <v>170</v>
      </c>
    </row>
    <row r="13" spans="2:10" x14ac:dyDescent="0.2">
      <c r="B13" t="s">
        <v>301</v>
      </c>
      <c r="C13">
        <f>C12/10</f>
        <v>4.95</v>
      </c>
      <c r="H13">
        <f t="shared" si="2"/>
        <v>9.5</v>
      </c>
      <c r="I13">
        <f t="shared" si="0"/>
        <v>19</v>
      </c>
      <c r="J13">
        <f t="shared" si="1"/>
        <v>190</v>
      </c>
    </row>
    <row r="14" spans="2:10" x14ac:dyDescent="0.2">
      <c r="H14">
        <f t="shared" si="2"/>
        <v>10.5</v>
      </c>
      <c r="I14">
        <f t="shared" si="0"/>
        <v>21</v>
      </c>
      <c r="J14">
        <f t="shared" si="1"/>
        <v>210</v>
      </c>
    </row>
    <row r="15" spans="2:10" x14ac:dyDescent="0.2">
      <c r="H15">
        <f t="shared" si="2"/>
        <v>11.5</v>
      </c>
      <c r="I15">
        <f t="shared" si="0"/>
        <v>23</v>
      </c>
      <c r="J15">
        <f t="shared" si="1"/>
        <v>230</v>
      </c>
    </row>
    <row r="16" spans="2:10" x14ac:dyDescent="0.2">
      <c r="H16">
        <f t="shared" si="2"/>
        <v>12.5</v>
      </c>
      <c r="I16">
        <f t="shared" si="0"/>
        <v>25</v>
      </c>
      <c r="J16">
        <f t="shared" si="1"/>
        <v>250</v>
      </c>
    </row>
    <row r="17" spans="8:10" x14ac:dyDescent="0.2">
      <c r="H17">
        <f t="shared" si="2"/>
        <v>13.5</v>
      </c>
      <c r="I17">
        <f t="shared" si="0"/>
        <v>27</v>
      </c>
      <c r="J17">
        <f t="shared" si="1"/>
        <v>270</v>
      </c>
    </row>
    <row r="18" spans="8:10" x14ac:dyDescent="0.2">
      <c r="H18">
        <f t="shared" si="2"/>
        <v>14.5</v>
      </c>
      <c r="I18">
        <f t="shared" si="0"/>
        <v>29</v>
      </c>
      <c r="J18">
        <f t="shared" si="1"/>
        <v>290</v>
      </c>
    </row>
    <row r="19" spans="8:10" x14ac:dyDescent="0.2">
      <c r="H19">
        <f t="shared" si="2"/>
        <v>15.5</v>
      </c>
      <c r="I19">
        <f t="shared" si="0"/>
        <v>31</v>
      </c>
      <c r="J19">
        <f t="shared" si="1"/>
        <v>310</v>
      </c>
    </row>
    <row r="20" spans="8:10" x14ac:dyDescent="0.2">
      <c r="H20">
        <f t="shared" si="2"/>
        <v>16.5</v>
      </c>
      <c r="I20">
        <f t="shared" si="0"/>
        <v>33</v>
      </c>
      <c r="J20">
        <f t="shared" si="1"/>
        <v>330</v>
      </c>
    </row>
    <row r="21" spans="8:10" x14ac:dyDescent="0.2">
      <c r="H21">
        <f t="shared" si="2"/>
        <v>17.5</v>
      </c>
      <c r="I21">
        <f t="shared" si="0"/>
        <v>35</v>
      </c>
      <c r="J21">
        <f t="shared" si="1"/>
        <v>350</v>
      </c>
    </row>
    <row r="22" spans="8:10" x14ac:dyDescent="0.2">
      <c r="H22">
        <f t="shared" si="2"/>
        <v>18.5</v>
      </c>
      <c r="I22">
        <f t="shared" si="0"/>
        <v>37</v>
      </c>
      <c r="J22">
        <f t="shared" si="1"/>
        <v>370</v>
      </c>
    </row>
    <row r="23" spans="8:10" x14ac:dyDescent="0.2">
      <c r="H23">
        <f t="shared" si="2"/>
        <v>19.5</v>
      </c>
      <c r="I23">
        <f t="shared" si="0"/>
        <v>39</v>
      </c>
      <c r="J23">
        <f t="shared" si="1"/>
        <v>390</v>
      </c>
    </row>
    <row r="24" spans="8:10" x14ac:dyDescent="0.2">
      <c r="H24">
        <f t="shared" si="2"/>
        <v>20.5</v>
      </c>
      <c r="I24">
        <f t="shared" si="0"/>
        <v>41</v>
      </c>
      <c r="J24">
        <f t="shared" si="1"/>
        <v>410</v>
      </c>
    </row>
    <row r="25" spans="8:10" x14ac:dyDescent="0.2">
      <c r="H25">
        <f t="shared" si="2"/>
        <v>21.5</v>
      </c>
      <c r="I25">
        <f t="shared" si="0"/>
        <v>43</v>
      </c>
      <c r="J25">
        <f t="shared" si="1"/>
        <v>430</v>
      </c>
    </row>
    <row r="26" spans="8:10" x14ac:dyDescent="0.2">
      <c r="H26">
        <f t="shared" si="2"/>
        <v>22.5</v>
      </c>
      <c r="I26">
        <f t="shared" si="0"/>
        <v>45</v>
      </c>
      <c r="J26">
        <f t="shared" si="1"/>
        <v>450</v>
      </c>
    </row>
    <row r="27" spans="8:10" x14ac:dyDescent="0.2">
      <c r="H27">
        <f t="shared" si="2"/>
        <v>23.5</v>
      </c>
      <c r="I27">
        <f t="shared" si="0"/>
        <v>47</v>
      </c>
      <c r="J27">
        <f t="shared" si="1"/>
        <v>470</v>
      </c>
    </row>
    <row r="28" spans="8:10" x14ac:dyDescent="0.2">
      <c r="H28">
        <f t="shared" si="2"/>
        <v>24.5</v>
      </c>
      <c r="I28">
        <f t="shared" si="0"/>
        <v>49</v>
      </c>
      <c r="J28">
        <f t="shared" si="1"/>
        <v>490</v>
      </c>
    </row>
    <row r="29" spans="8:10" x14ac:dyDescent="0.2">
      <c r="H29">
        <f t="shared" si="2"/>
        <v>25.5</v>
      </c>
      <c r="I29">
        <f t="shared" si="0"/>
        <v>51</v>
      </c>
      <c r="J29">
        <f t="shared" si="1"/>
        <v>510</v>
      </c>
    </row>
    <row r="30" spans="8:10" x14ac:dyDescent="0.2">
      <c r="H30">
        <f t="shared" si="2"/>
        <v>26.5</v>
      </c>
      <c r="I30">
        <f t="shared" si="0"/>
        <v>53</v>
      </c>
      <c r="J30">
        <f t="shared" si="1"/>
        <v>530</v>
      </c>
    </row>
    <row r="31" spans="8:10" x14ac:dyDescent="0.2">
      <c r="H31" t="s">
        <v>285</v>
      </c>
      <c r="I31" t="s">
        <v>285</v>
      </c>
      <c r="J31" t="s">
        <v>285</v>
      </c>
    </row>
    <row r="32" spans="8:10" x14ac:dyDescent="0.2">
      <c r="H32" t="s">
        <v>285</v>
      </c>
      <c r="I32" t="s">
        <v>285</v>
      </c>
      <c r="J32" t="s">
        <v>285</v>
      </c>
    </row>
    <row r="33" spans="8:10" x14ac:dyDescent="0.2">
      <c r="H33" t="s">
        <v>285</v>
      </c>
      <c r="I33" t="e">
        <f t="shared" si="0"/>
        <v>#VALUE!</v>
      </c>
      <c r="J33" t="s">
        <v>285</v>
      </c>
    </row>
    <row r="34" spans="8:10" x14ac:dyDescent="0.2">
      <c r="H34" t="e">
        <f t="shared" ref="H7:H70" si="3">2+H33</f>
        <v>#VALUE!</v>
      </c>
      <c r="I34" t="e">
        <f t="shared" si="0"/>
        <v>#VALUE!</v>
      </c>
      <c r="J34" t="s">
        <v>285</v>
      </c>
    </row>
    <row r="35" spans="8:10" x14ac:dyDescent="0.2">
      <c r="H35" t="e">
        <f t="shared" si="3"/>
        <v>#VALUE!</v>
      </c>
      <c r="I35" t="e">
        <f t="shared" si="0"/>
        <v>#VALUE!</v>
      </c>
      <c r="J35" t="e">
        <f t="shared" si="1"/>
        <v>#VALUE!</v>
      </c>
    </row>
    <row r="36" spans="8:10" x14ac:dyDescent="0.2">
      <c r="H36" t="e">
        <f t="shared" si="3"/>
        <v>#VALUE!</v>
      </c>
      <c r="I36" t="e">
        <f t="shared" si="0"/>
        <v>#VALUE!</v>
      </c>
      <c r="J36" t="e">
        <f t="shared" si="1"/>
        <v>#VALUE!</v>
      </c>
    </row>
    <row r="37" spans="8:10" x14ac:dyDescent="0.2">
      <c r="H37" t="e">
        <f t="shared" si="3"/>
        <v>#VALUE!</v>
      </c>
      <c r="I37" t="e">
        <f t="shared" si="0"/>
        <v>#VALUE!</v>
      </c>
      <c r="J37" t="e">
        <f t="shared" si="1"/>
        <v>#VALUE!</v>
      </c>
    </row>
    <row r="38" spans="8:10" x14ac:dyDescent="0.2">
      <c r="H38" t="e">
        <f t="shared" si="3"/>
        <v>#VALUE!</v>
      </c>
      <c r="I38" t="e">
        <f t="shared" si="0"/>
        <v>#VALUE!</v>
      </c>
      <c r="J38" t="e">
        <f t="shared" si="1"/>
        <v>#VALUE!</v>
      </c>
    </row>
    <row r="39" spans="8:10" x14ac:dyDescent="0.2">
      <c r="H39" t="e">
        <f t="shared" si="3"/>
        <v>#VALUE!</v>
      </c>
      <c r="I39" t="e">
        <f t="shared" si="0"/>
        <v>#VALUE!</v>
      </c>
      <c r="J39" t="e">
        <f t="shared" si="1"/>
        <v>#VALUE!</v>
      </c>
    </row>
    <row r="40" spans="8:10" x14ac:dyDescent="0.2">
      <c r="H40" t="e">
        <f t="shared" si="3"/>
        <v>#VALUE!</v>
      </c>
      <c r="I40" t="e">
        <f t="shared" si="0"/>
        <v>#VALUE!</v>
      </c>
      <c r="J40" t="e">
        <f t="shared" si="1"/>
        <v>#VALUE!</v>
      </c>
    </row>
    <row r="41" spans="8:10" x14ac:dyDescent="0.2">
      <c r="H41" t="e">
        <f t="shared" si="3"/>
        <v>#VALUE!</v>
      </c>
      <c r="I41" t="e">
        <f t="shared" si="0"/>
        <v>#VALUE!</v>
      </c>
      <c r="J41" t="e">
        <f t="shared" si="1"/>
        <v>#VALUE!</v>
      </c>
    </row>
    <row r="42" spans="8:10" x14ac:dyDescent="0.2">
      <c r="H42" t="e">
        <f t="shared" si="3"/>
        <v>#VALUE!</v>
      </c>
      <c r="I42" t="e">
        <f t="shared" si="0"/>
        <v>#VALUE!</v>
      </c>
      <c r="J42" t="e">
        <f t="shared" si="1"/>
        <v>#VALUE!</v>
      </c>
    </row>
    <row r="43" spans="8:10" x14ac:dyDescent="0.2">
      <c r="H43" t="e">
        <f t="shared" si="3"/>
        <v>#VALUE!</v>
      </c>
      <c r="I43" t="e">
        <f t="shared" si="0"/>
        <v>#VALUE!</v>
      </c>
      <c r="J43" t="e">
        <f t="shared" si="1"/>
        <v>#VALUE!</v>
      </c>
    </row>
    <row r="44" spans="8:10" x14ac:dyDescent="0.2">
      <c r="H44" t="e">
        <f t="shared" si="3"/>
        <v>#VALUE!</v>
      </c>
      <c r="I44" t="e">
        <f t="shared" si="0"/>
        <v>#VALUE!</v>
      </c>
      <c r="J44" t="e">
        <f t="shared" si="1"/>
        <v>#VALUE!</v>
      </c>
    </row>
    <row r="45" spans="8:10" x14ac:dyDescent="0.2">
      <c r="H45" t="e">
        <f t="shared" si="3"/>
        <v>#VALUE!</v>
      </c>
      <c r="I45" t="e">
        <f t="shared" si="0"/>
        <v>#VALUE!</v>
      </c>
      <c r="J45" t="e">
        <f t="shared" si="1"/>
        <v>#VALUE!</v>
      </c>
    </row>
    <row r="46" spans="8:10" x14ac:dyDescent="0.2">
      <c r="H46" t="e">
        <f t="shared" si="3"/>
        <v>#VALUE!</v>
      </c>
      <c r="I46" t="e">
        <f t="shared" si="0"/>
        <v>#VALUE!</v>
      </c>
      <c r="J46" t="e">
        <f t="shared" si="1"/>
        <v>#VALUE!</v>
      </c>
    </row>
    <row r="47" spans="8:10" x14ac:dyDescent="0.2">
      <c r="H47" t="e">
        <f t="shared" si="3"/>
        <v>#VALUE!</v>
      </c>
      <c r="I47" t="e">
        <f t="shared" si="0"/>
        <v>#VALUE!</v>
      </c>
      <c r="J47" t="e">
        <f t="shared" si="1"/>
        <v>#VALUE!</v>
      </c>
    </row>
    <row r="48" spans="8:10" x14ac:dyDescent="0.2">
      <c r="H48" t="e">
        <f t="shared" si="3"/>
        <v>#VALUE!</v>
      </c>
      <c r="I48" t="e">
        <f t="shared" si="0"/>
        <v>#VALUE!</v>
      </c>
      <c r="J48" t="e">
        <f t="shared" si="1"/>
        <v>#VALUE!</v>
      </c>
    </row>
    <row r="49" spans="8:10" x14ac:dyDescent="0.2">
      <c r="H49" t="e">
        <f t="shared" si="3"/>
        <v>#VALUE!</v>
      </c>
      <c r="I49" t="e">
        <f t="shared" si="0"/>
        <v>#VALUE!</v>
      </c>
      <c r="J49" t="e">
        <f t="shared" si="1"/>
        <v>#VALUE!</v>
      </c>
    </row>
    <row r="50" spans="8:10" x14ac:dyDescent="0.2">
      <c r="H50" t="e">
        <f t="shared" si="3"/>
        <v>#VALUE!</v>
      </c>
      <c r="I50" t="e">
        <f t="shared" si="0"/>
        <v>#VALUE!</v>
      </c>
      <c r="J50" t="e">
        <f t="shared" si="1"/>
        <v>#VALUE!</v>
      </c>
    </row>
    <row r="51" spans="8:10" x14ac:dyDescent="0.2">
      <c r="H51" t="e">
        <f t="shared" si="3"/>
        <v>#VALUE!</v>
      </c>
      <c r="I51" t="e">
        <f t="shared" si="0"/>
        <v>#VALUE!</v>
      </c>
      <c r="J51" t="e">
        <f t="shared" si="1"/>
        <v>#VALUE!</v>
      </c>
    </row>
    <row r="52" spans="8:10" x14ac:dyDescent="0.2">
      <c r="H52" t="e">
        <f t="shared" si="3"/>
        <v>#VALUE!</v>
      </c>
      <c r="I52" t="e">
        <f t="shared" si="0"/>
        <v>#VALUE!</v>
      </c>
      <c r="J52" t="e">
        <f t="shared" si="1"/>
        <v>#VALUE!</v>
      </c>
    </row>
    <row r="53" spans="8:10" x14ac:dyDescent="0.2">
      <c r="H53" t="e">
        <f t="shared" si="3"/>
        <v>#VALUE!</v>
      </c>
      <c r="I53" t="e">
        <f t="shared" si="0"/>
        <v>#VALUE!</v>
      </c>
      <c r="J53" t="e">
        <f t="shared" si="1"/>
        <v>#VALUE!</v>
      </c>
    </row>
    <row r="54" spans="8:10" x14ac:dyDescent="0.2">
      <c r="H54" t="e">
        <f t="shared" si="3"/>
        <v>#VALUE!</v>
      </c>
      <c r="I54" t="e">
        <f t="shared" si="0"/>
        <v>#VALUE!</v>
      </c>
      <c r="J54" t="e">
        <f t="shared" si="1"/>
        <v>#VALUE!</v>
      </c>
    </row>
    <row r="55" spans="8:10" x14ac:dyDescent="0.2">
      <c r="H55" t="e">
        <f t="shared" si="3"/>
        <v>#VALUE!</v>
      </c>
      <c r="I55" t="e">
        <f t="shared" si="0"/>
        <v>#VALUE!</v>
      </c>
      <c r="J55" t="e">
        <f t="shared" si="1"/>
        <v>#VALUE!</v>
      </c>
    </row>
    <row r="56" spans="8:10" x14ac:dyDescent="0.2">
      <c r="H56" t="e">
        <f t="shared" si="3"/>
        <v>#VALUE!</v>
      </c>
      <c r="I56" t="e">
        <f t="shared" si="0"/>
        <v>#VALUE!</v>
      </c>
      <c r="J56" t="e">
        <f t="shared" si="1"/>
        <v>#VALUE!</v>
      </c>
    </row>
    <row r="57" spans="8:10" x14ac:dyDescent="0.2">
      <c r="H57" t="e">
        <f t="shared" si="3"/>
        <v>#VALUE!</v>
      </c>
      <c r="I57" t="e">
        <f t="shared" si="0"/>
        <v>#VALUE!</v>
      </c>
      <c r="J57" t="e">
        <f t="shared" si="1"/>
        <v>#VALUE!</v>
      </c>
    </row>
    <row r="58" spans="8:10" x14ac:dyDescent="0.2">
      <c r="H58" t="e">
        <f t="shared" si="3"/>
        <v>#VALUE!</v>
      </c>
      <c r="I58" t="e">
        <f t="shared" si="0"/>
        <v>#VALUE!</v>
      </c>
      <c r="J58" t="e">
        <f t="shared" si="1"/>
        <v>#VALUE!</v>
      </c>
    </row>
    <row r="59" spans="8:10" x14ac:dyDescent="0.2">
      <c r="H59" t="e">
        <f t="shared" si="3"/>
        <v>#VALUE!</v>
      </c>
      <c r="I59" t="e">
        <f t="shared" si="0"/>
        <v>#VALUE!</v>
      </c>
      <c r="J59" t="e">
        <f t="shared" si="1"/>
        <v>#VALUE!</v>
      </c>
    </row>
    <row r="60" spans="8:10" x14ac:dyDescent="0.2">
      <c r="H60" t="e">
        <f t="shared" si="3"/>
        <v>#VALUE!</v>
      </c>
      <c r="I60" t="e">
        <f t="shared" si="0"/>
        <v>#VALUE!</v>
      </c>
      <c r="J60" t="e">
        <f t="shared" si="1"/>
        <v>#VALUE!</v>
      </c>
    </row>
    <row r="61" spans="8:10" x14ac:dyDescent="0.2">
      <c r="H61" t="e">
        <f t="shared" si="3"/>
        <v>#VALUE!</v>
      </c>
      <c r="I61" t="e">
        <f t="shared" si="0"/>
        <v>#VALUE!</v>
      </c>
      <c r="J61" t="e">
        <f t="shared" si="1"/>
        <v>#VALUE!</v>
      </c>
    </row>
    <row r="62" spans="8:10" x14ac:dyDescent="0.2">
      <c r="H62" t="e">
        <f t="shared" si="3"/>
        <v>#VALUE!</v>
      </c>
      <c r="I62" t="e">
        <f t="shared" si="0"/>
        <v>#VALUE!</v>
      </c>
      <c r="J62" t="e">
        <f t="shared" si="1"/>
        <v>#VALUE!</v>
      </c>
    </row>
    <row r="63" spans="8:10" x14ac:dyDescent="0.2">
      <c r="H63" t="e">
        <f t="shared" si="3"/>
        <v>#VALUE!</v>
      </c>
      <c r="I63" t="e">
        <f t="shared" si="0"/>
        <v>#VALUE!</v>
      </c>
      <c r="J63" t="e">
        <f t="shared" si="1"/>
        <v>#VALUE!</v>
      </c>
    </row>
    <row r="64" spans="8:10" x14ac:dyDescent="0.2">
      <c r="H64" t="e">
        <f t="shared" si="3"/>
        <v>#VALUE!</v>
      </c>
      <c r="I64" t="e">
        <f t="shared" si="0"/>
        <v>#VALUE!</v>
      </c>
      <c r="J64" t="e">
        <f t="shared" si="1"/>
        <v>#VALUE!</v>
      </c>
    </row>
    <row r="65" spans="8:10" x14ac:dyDescent="0.2">
      <c r="H65" t="e">
        <f t="shared" si="3"/>
        <v>#VALUE!</v>
      </c>
      <c r="I65" t="e">
        <f t="shared" si="0"/>
        <v>#VALUE!</v>
      </c>
      <c r="J65" t="e">
        <f t="shared" si="1"/>
        <v>#VALUE!</v>
      </c>
    </row>
    <row r="66" spans="8:10" x14ac:dyDescent="0.2">
      <c r="H66" t="e">
        <f t="shared" si="3"/>
        <v>#VALUE!</v>
      </c>
      <c r="I66" t="e">
        <f t="shared" si="0"/>
        <v>#VALUE!</v>
      </c>
      <c r="J66" t="e">
        <f t="shared" si="1"/>
        <v>#VALUE!</v>
      </c>
    </row>
    <row r="67" spans="8:10" x14ac:dyDescent="0.2">
      <c r="H67" t="e">
        <f t="shared" si="3"/>
        <v>#VALUE!</v>
      </c>
      <c r="I67" t="e">
        <f t="shared" si="0"/>
        <v>#VALUE!</v>
      </c>
      <c r="J67" t="e">
        <f t="shared" si="1"/>
        <v>#VALUE!</v>
      </c>
    </row>
    <row r="68" spans="8:10" x14ac:dyDescent="0.2">
      <c r="H68" t="e">
        <f t="shared" si="3"/>
        <v>#VALUE!</v>
      </c>
      <c r="I68" t="e">
        <f t="shared" si="0"/>
        <v>#VALUE!</v>
      </c>
      <c r="J68" t="e">
        <f t="shared" si="1"/>
        <v>#VALUE!</v>
      </c>
    </row>
    <row r="69" spans="8:10" x14ac:dyDescent="0.2">
      <c r="H69" t="e">
        <f t="shared" si="3"/>
        <v>#VALUE!</v>
      </c>
      <c r="I69" t="e">
        <f t="shared" si="0"/>
        <v>#VALUE!</v>
      </c>
      <c r="J69" t="e">
        <f t="shared" si="1"/>
        <v>#VALUE!</v>
      </c>
    </row>
    <row r="70" spans="8:10" x14ac:dyDescent="0.2">
      <c r="H70" t="e">
        <f t="shared" si="3"/>
        <v>#VALUE!</v>
      </c>
      <c r="I70" t="e">
        <f t="shared" ref="I70:I79" si="4">H70*1000/C$5</f>
        <v>#VALUE!</v>
      </c>
      <c r="J70" t="e">
        <f t="shared" ref="J70:J79" si="5">H70*1000/C$4</f>
        <v>#VALUE!</v>
      </c>
    </row>
    <row r="71" spans="8:10" x14ac:dyDescent="0.2">
      <c r="H71" t="e">
        <f t="shared" ref="H71:H79" si="6">2+H70</f>
        <v>#VALUE!</v>
      </c>
      <c r="I71" t="e">
        <f t="shared" si="4"/>
        <v>#VALUE!</v>
      </c>
      <c r="J71" t="e">
        <f t="shared" si="5"/>
        <v>#VALUE!</v>
      </c>
    </row>
    <row r="72" spans="8:10" x14ac:dyDescent="0.2">
      <c r="H72" t="e">
        <f t="shared" si="6"/>
        <v>#VALUE!</v>
      </c>
      <c r="I72" t="e">
        <f t="shared" si="4"/>
        <v>#VALUE!</v>
      </c>
      <c r="J72" t="e">
        <f t="shared" si="5"/>
        <v>#VALUE!</v>
      </c>
    </row>
    <row r="73" spans="8:10" x14ac:dyDescent="0.2">
      <c r="H73" t="e">
        <f t="shared" si="6"/>
        <v>#VALUE!</v>
      </c>
      <c r="I73" t="e">
        <f t="shared" si="4"/>
        <v>#VALUE!</v>
      </c>
      <c r="J73" t="e">
        <f t="shared" si="5"/>
        <v>#VALUE!</v>
      </c>
    </row>
    <row r="74" spans="8:10" x14ac:dyDescent="0.2">
      <c r="H74" t="e">
        <f t="shared" si="6"/>
        <v>#VALUE!</v>
      </c>
      <c r="I74" t="e">
        <f t="shared" si="4"/>
        <v>#VALUE!</v>
      </c>
      <c r="J74" t="e">
        <f t="shared" si="5"/>
        <v>#VALUE!</v>
      </c>
    </row>
    <row r="75" spans="8:10" x14ac:dyDescent="0.2">
      <c r="H75" t="e">
        <f t="shared" si="6"/>
        <v>#VALUE!</v>
      </c>
      <c r="I75" t="e">
        <f t="shared" si="4"/>
        <v>#VALUE!</v>
      </c>
      <c r="J75" t="e">
        <f t="shared" si="5"/>
        <v>#VALUE!</v>
      </c>
    </row>
    <row r="76" spans="8:10" x14ac:dyDescent="0.2">
      <c r="H76" t="e">
        <f t="shared" si="6"/>
        <v>#VALUE!</v>
      </c>
      <c r="I76" t="e">
        <f t="shared" si="4"/>
        <v>#VALUE!</v>
      </c>
      <c r="J76" t="e">
        <f t="shared" si="5"/>
        <v>#VALUE!</v>
      </c>
    </row>
    <row r="77" spans="8:10" x14ac:dyDescent="0.2">
      <c r="H77" t="e">
        <f t="shared" si="6"/>
        <v>#VALUE!</v>
      </c>
      <c r="I77" t="e">
        <f t="shared" si="4"/>
        <v>#VALUE!</v>
      </c>
      <c r="J77" t="e">
        <f t="shared" si="5"/>
        <v>#VALUE!</v>
      </c>
    </row>
    <row r="78" spans="8:10" x14ac:dyDescent="0.2">
      <c r="H78" t="e">
        <f t="shared" si="6"/>
        <v>#VALUE!</v>
      </c>
      <c r="I78" t="e">
        <f t="shared" si="4"/>
        <v>#VALUE!</v>
      </c>
      <c r="J78" t="e">
        <f t="shared" si="5"/>
        <v>#VALUE!</v>
      </c>
    </row>
    <row r="79" spans="8:10" x14ac:dyDescent="0.2">
      <c r="H79" t="e">
        <f t="shared" si="6"/>
        <v>#VALUE!</v>
      </c>
      <c r="I79" t="e">
        <f t="shared" si="4"/>
        <v>#VALUE!</v>
      </c>
      <c r="J79" t="e">
        <f t="shared" si="5"/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90BC-5C6C-6144-8869-83F41B215A75}">
  <dimension ref="C2:L16"/>
  <sheetViews>
    <sheetView workbookViewId="0">
      <selection activeCell="E4" sqref="E4"/>
    </sheetView>
  </sheetViews>
  <sheetFormatPr baseColWidth="10" defaultRowHeight="16" x14ac:dyDescent="0.2"/>
  <sheetData>
    <row r="2" spans="3:12" x14ac:dyDescent="0.2">
      <c r="D2" t="s">
        <v>309</v>
      </c>
    </row>
    <row r="3" spans="3:12" x14ac:dyDescent="0.2">
      <c r="C3" t="s">
        <v>296</v>
      </c>
      <c r="D3">
        <v>100</v>
      </c>
      <c r="J3" t="s">
        <v>311</v>
      </c>
      <c r="K3" t="s">
        <v>310</v>
      </c>
      <c r="L3" t="s">
        <v>304</v>
      </c>
    </row>
    <row r="4" spans="3:12" x14ac:dyDescent="0.2">
      <c r="C4" t="s">
        <v>297</v>
      </c>
      <c r="D4">
        <v>1000</v>
      </c>
    </row>
    <row r="5" spans="3:12" x14ac:dyDescent="0.2">
      <c r="J5">
        <v>1</v>
      </c>
      <c r="K5">
        <f>J5*D$9/D$4</f>
        <v>1</v>
      </c>
      <c r="L5">
        <f>J5*D$9/D$3</f>
        <v>10</v>
      </c>
    </row>
    <row r="6" spans="3:12" x14ac:dyDescent="0.2">
      <c r="C6" t="s">
        <v>305</v>
      </c>
      <c r="D6">
        <v>1</v>
      </c>
      <c r="J6">
        <f>J5+D$11</f>
        <v>11</v>
      </c>
      <c r="K6">
        <f t="shared" ref="K6:L16" si="0">J6*D$9/D$4</f>
        <v>11</v>
      </c>
      <c r="L6">
        <f t="shared" ref="L6:L16" si="1">J6*D$9/D$3</f>
        <v>110</v>
      </c>
    </row>
    <row r="7" spans="3:12" x14ac:dyDescent="0.2">
      <c r="C7" t="s">
        <v>306</v>
      </c>
      <c r="D7">
        <v>100</v>
      </c>
      <c r="J7">
        <f t="shared" ref="J7:J16" si="2">J6+D$11</f>
        <v>21</v>
      </c>
      <c r="K7">
        <f t="shared" si="0"/>
        <v>21</v>
      </c>
      <c r="L7">
        <f t="shared" si="1"/>
        <v>210</v>
      </c>
    </row>
    <row r="8" spans="3:12" x14ac:dyDescent="0.2">
      <c r="J8">
        <f t="shared" si="2"/>
        <v>31</v>
      </c>
      <c r="K8">
        <f t="shared" si="0"/>
        <v>31</v>
      </c>
      <c r="L8">
        <f t="shared" si="1"/>
        <v>310</v>
      </c>
    </row>
    <row r="9" spans="3:12" x14ac:dyDescent="0.2">
      <c r="C9" t="s">
        <v>307</v>
      </c>
      <c r="D9">
        <v>1000</v>
      </c>
      <c r="J9">
        <f t="shared" si="2"/>
        <v>41</v>
      </c>
      <c r="K9">
        <f t="shared" si="0"/>
        <v>41</v>
      </c>
      <c r="L9">
        <f t="shared" si="1"/>
        <v>410</v>
      </c>
    </row>
    <row r="10" spans="3:12" x14ac:dyDescent="0.2">
      <c r="J10">
        <f t="shared" si="2"/>
        <v>51</v>
      </c>
      <c r="K10">
        <f t="shared" si="0"/>
        <v>51</v>
      </c>
      <c r="L10">
        <f t="shared" si="1"/>
        <v>510</v>
      </c>
    </row>
    <row r="11" spans="3:12" x14ac:dyDescent="0.2">
      <c r="C11" t="s">
        <v>308</v>
      </c>
      <c r="D11">
        <v>10</v>
      </c>
      <c r="J11">
        <f t="shared" si="2"/>
        <v>61</v>
      </c>
      <c r="K11">
        <f t="shared" si="0"/>
        <v>61</v>
      </c>
      <c r="L11">
        <f t="shared" si="1"/>
        <v>610</v>
      </c>
    </row>
    <row r="12" spans="3:12" x14ac:dyDescent="0.2">
      <c r="J12">
        <f t="shared" si="2"/>
        <v>71</v>
      </c>
      <c r="K12">
        <f t="shared" si="0"/>
        <v>71</v>
      </c>
      <c r="L12">
        <f t="shared" si="1"/>
        <v>710</v>
      </c>
    </row>
    <row r="13" spans="3:12" x14ac:dyDescent="0.2">
      <c r="J13">
        <f t="shared" si="2"/>
        <v>81</v>
      </c>
      <c r="K13">
        <f t="shared" si="0"/>
        <v>81</v>
      </c>
      <c r="L13">
        <f t="shared" si="1"/>
        <v>810</v>
      </c>
    </row>
    <row r="14" spans="3:12" x14ac:dyDescent="0.2">
      <c r="J14">
        <f t="shared" si="2"/>
        <v>91</v>
      </c>
      <c r="K14">
        <f t="shared" si="0"/>
        <v>91</v>
      </c>
      <c r="L14">
        <f t="shared" si="1"/>
        <v>910</v>
      </c>
    </row>
    <row r="15" spans="3:12" x14ac:dyDescent="0.2">
      <c r="J15">
        <f>J14+D$11</f>
        <v>101</v>
      </c>
      <c r="K15">
        <f t="shared" si="0"/>
        <v>101</v>
      </c>
      <c r="L15">
        <f t="shared" si="1"/>
        <v>1010</v>
      </c>
    </row>
    <row r="16" spans="3:12" x14ac:dyDescent="0.2">
      <c r="J16">
        <f t="shared" si="2"/>
        <v>111</v>
      </c>
      <c r="K16">
        <f t="shared" si="0"/>
        <v>111</v>
      </c>
      <c r="L16">
        <f t="shared" si="1"/>
        <v>1110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6A25-9550-F842-847F-B232932266B0}">
  <dimension ref="C2:L249"/>
  <sheetViews>
    <sheetView workbookViewId="0">
      <selection activeCell="C2" sqref="C2:D4"/>
    </sheetView>
  </sheetViews>
  <sheetFormatPr baseColWidth="10" defaultRowHeight="16" x14ac:dyDescent="0.2"/>
  <sheetData>
    <row r="2" spans="3:12" x14ac:dyDescent="0.2">
      <c r="D2" t="s">
        <v>3</v>
      </c>
    </row>
    <row r="3" spans="3:12" x14ac:dyDescent="0.2">
      <c r="C3" t="s">
        <v>296</v>
      </c>
      <c r="D3">
        <v>0.02</v>
      </c>
      <c r="J3" t="s">
        <v>311</v>
      </c>
      <c r="K3" t="s">
        <v>310</v>
      </c>
      <c r="L3" t="s">
        <v>304</v>
      </c>
    </row>
    <row r="4" spans="3:12" x14ac:dyDescent="0.2">
      <c r="C4" t="s">
        <v>297</v>
      </c>
      <c r="D4">
        <v>0.5</v>
      </c>
    </row>
    <row r="5" spans="3:12" x14ac:dyDescent="0.2">
      <c r="J5">
        <f>D6</f>
        <v>2.0000000000000001E-4</v>
      </c>
      <c r="K5">
        <f>J5*D$9/D$4</f>
        <v>0.4</v>
      </c>
      <c r="L5">
        <f>J5*D$9/D$3</f>
        <v>10</v>
      </c>
    </row>
    <row r="6" spans="3:12" x14ac:dyDescent="0.2">
      <c r="C6" t="s">
        <v>305</v>
      </c>
      <c r="D6">
        <v>2.0000000000000001E-4</v>
      </c>
      <c r="J6">
        <f>J5+0.001</f>
        <v>1.2000000000000001E-3</v>
      </c>
      <c r="K6">
        <f t="shared" ref="K6:K69" si="0">J6*D$9/D$4</f>
        <v>2.4000000000000004</v>
      </c>
      <c r="L6">
        <f t="shared" ref="L6:L69" si="1">J6*D$9/D$3</f>
        <v>60.000000000000007</v>
      </c>
    </row>
    <row r="7" spans="3:12" x14ac:dyDescent="0.2">
      <c r="C7" t="s">
        <v>306</v>
      </c>
      <c r="D7">
        <v>0.1</v>
      </c>
      <c r="J7">
        <f>J6+0.001</f>
        <v>2.2000000000000001E-3</v>
      </c>
      <c r="K7">
        <f t="shared" si="0"/>
        <v>4.4000000000000004</v>
      </c>
      <c r="L7">
        <f t="shared" si="1"/>
        <v>110</v>
      </c>
    </row>
    <row r="8" spans="3:12" x14ac:dyDescent="0.2">
      <c r="J8">
        <f t="shared" ref="J7:J70" si="2">J7+0.001</f>
        <v>3.2000000000000002E-3</v>
      </c>
      <c r="K8">
        <f t="shared" si="0"/>
        <v>6.4</v>
      </c>
      <c r="L8">
        <f t="shared" si="1"/>
        <v>160</v>
      </c>
    </row>
    <row r="9" spans="3:12" x14ac:dyDescent="0.2">
      <c r="C9" t="s">
        <v>307</v>
      </c>
      <c r="D9">
        <v>1000</v>
      </c>
      <c r="J9">
        <f t="shared" si="2"/>
        <v>4.2000000000000006E-3</v>
      </c>
      <c r="K9">
        <f t="shared" si="0"/>
        <v>8.4</v>
      </c>
      <c r="L9">
        <f t="shared" si="1"/>
        <v>210</v>
      </c>
    </row>
    <row r="10" spans="3:12" x14ac:dyDescent="0.2">
      <c r="J10">
        <f t="shared" si="2"/>
        <v>5.2000000000000006E-3</v>
      </c>
      <c r="K10">
        <f t="shared" si="0"/>
        <v>10.400000000000002</v>
      </c>
      <c r="L10">
        <f t="shared" si="1"/>
        <v>260.00000000000006</v>
      </c>
    </row>
    <row r="11" spans="3:12" x14ac:dyDescent="0.2">
      <c r="C11" t="s">
        <v>308</v>
      </c>
      <c r="D11">
        <v>10</v>
      </c>
      <c r="J11">
        <f t="shared" si="2"/>
        <v>6.2000000000000006E-3</v>
      </c>
      <c r="K11">
        <f t="shared" si="0"/>
        <v>12.400000000000002</v>
      </c>
      <c r="L11">
        <f t="shared" si="1"/>
        <v>310.00000000000006</v>
      </c>
    </row>
    <row r="12" spans="3:12" x14ac:dyDescent="0.2">
      <c r="J12">
        <f t="shared" si="2"/>
        <v>7.2000000000000007E-3</v>
      </c>
      <c r="K12">
        <f t="shared" si="0"/>
        <v>14.400000000000002</v>
      </c>
      <c r="L12">
        <f t="shared" si="1"/>
        <v>360.00000000000006</v>
      </c>
    </row>
    <row r="13" spans="3:12" x14ac:dyDescent="0.2">
      <c r="J13">
        <f t="shared" si="2"/>
        <v>8.2000000000000007E-3</v>
      </c>
      <c r="K13">
        <f t="shared" si="0"/>
        <v>16.400000000000002</v>
      </c>
      <c r="L13">
        <f t="shared" si="1"/>
        <v>410.00000000000006</v>
      </c>
    </row>
    <row r="14" spans="3:12" x14ac:dyDescent="0.2">
      <c r="J14">
        <f t="shared" si="2"/>
        <v>9.1999999999999998E-3</v>
      </c>
      <c r="K14">
        <f t="shared" si="0"/>
        <v>18.399999999999999</v>
      </c>
      <c r="L14">
        <f t="shared" si="1"/>
        <v>459.99999999999994</v>
      </c>
    </row>
    <row r="15" spans="3:12" x14ac:dyDescent="0.2">
      <c r="J15">
        <f t="shared" si="2"/>
        <v>1.0200000000000001E-2</v>
      </c>
      <c r="K15">
        <f t="shared" si="0"/>
        <v>20.400000000000002</v>
      </c>
      <c r="L15">
        <f t="shared" si="1"/>
        <v>510.00000000000006</v>
      </c>
    </row>
    <row r="16" spans="3:12" x14ac:dyDescent="0.2">
      <c r="J16">
        <f t="shared" si="2"/>
        <v>1.1200000000000002E-2</v>
      </c>
      <c r="K16">
        <f t="shared" si="0"/>
        <v>22.400000000000002</v>
      </c>
      <c r="L16">
        <f t="shared" si="1"/>
        <v>560</v>
      </c>
    </row>
    <row r="17" spans="10:12" x14ac:dyDescent="0.2">
      <c r="J17">
        <f t="shared" si="2"/>
        <v>1.2200000000000003E-2</v>
      </c>
      <c r="K17">
        <f t="shared" si="0"/>
        <v>24.400000000000006</v>
      </c>
      <c r="L17">
        <f t="shared" si="1"/>
        <v>610.00000000000011</v>
      </c>
    </row>
    <row r="18" spans="10:12" x14ac:dyDescent="0.2">
      <c r="J18">
        <f t="shared" si="2"/>
        <v>1.3200000000000003E-2</v>
      </c>
      <c r="K18">
        <f t="shared" si="0"/>
        <v>26.400000000000006</v>
      </c>
      <c r="L18">
        <f t="shared" si="1"/>
        <v>660.00000000000011</v>
      </c>
    </row>
    <row r="19" spans="10:12" x14ac:dyDescent="0.2">
      <c r="J19">
        <f t="shared" si="2"/>
        <v>1.4200000000000004E-2</v>
      </c>
      <c r="K19">
        <f t="shared" si="0"/>
        <v>28.400000000000009</v>
      </c>
      <c r="L19">
        <f t="shared" si="1"/>
        <v>710.00000000000023</v>
      </c>
    </row>
    <row r="20" spans="10:12" x14ac:dyDescent="0.2">
      <c r="J20">
        <f t="shared" si="2"/>
        <v>1.5200000000000005E-2</v>
      </c>
      <c r="K20">
        <f t="shared" si="0"/>
        <v>30.400000000000009</v>
      </c>
      <c r="L20">
        <f t="shared" si="1"/>
        <v>760.00000000000023</v>
      </c>
    </row>
    <row r="21" spans="10:12" x14ac:dyDescent="0.2">
      <c r="J21">
        <f t="shared" si="2"/>
        <v>1.6200000000000006E-2</v>
      </c>
      <c r="K21">
        <f t="shared" si="0"/>
        <v>32.400000000000013</v>
      </c>
      <c r="L21">
        <f t="shared" si="1"/>
        <v>810.00000000000034</v>
      </c>
    </row>
    <row r="22" spans="10:12" x14ac:dyDescent="0.2">
      <c r="J22">
        <f t="shared" si="2"/>
        <v>1.7200000000000007E-2</v>
      </c>
      <c r="K22">
        <f t="shared" si="0"/>
        <v>34.400000000000013</v>
      </c>
      <c r="L22">
        <f t="shared" si="1"/>
        <v>860.00000000000034</v>
      </c>
    </row>
    <row r="23" spans="10:12" x14ac:dyDescent="0.2">
      <c r="J23">
        <f t="shared" si="2"/>
        <v>1.8200000000000008E-2</v>
      </c>
      <c r="K23">
        <f t="shared" si="0"/>
        <v>36.400000000000013</v>
      </c>
      <c r="L23">
        <f t="shared" si="1"/>
        <v>910.00000000000034</v>
      </c>
    </row>
    <row r="24" spans="10:12" x14ac:dyDescent="0.2">
      <c r="J24">
        <f t="shared" si="2"/>
        <v>1.9200000000000009E-2</v>
      </c>
      <c r="K24">
        <f t="shared" si="0"/>
        <v>38.40000000000002</v>
      </c>
      <c r="L24">
        <f t="shared" si="1"/>
        <v>960.00000000000045</v>
      </c>
    </row>
    <row r="25" spans="10:12" x14ac:dyDescent="0.2">
      <c r="J25">
        <f t="shared" si="2"/>
        <v>2.020000000000001E-2</v>
      </c>
      <c r="K25">
        <f t="shared" si="0"/>
        <v>40.40000000000002</v>
      </c>
      <c r="L25">
        <f t="shared" si="1"/>
        <v>1010.0000000000005</v>
      </c>
    </row>
    <row r="26" spans="10:12" x14ac:dyDescent="0.2">
      <c r="J26">
        <f t="shared" si="2"/>
        <v>2.1200000000000011E-2</v>
      </c>
      <c r="K26">
        <f t="shared" si="0"/>
        <v>42.40000000000002</v>
      </c>
      <c r="L26">
        <f t="shared" si="1"/>
        <v>1060.0000000000005</v>
      </c>
    </row>
    <row r="27" spans="10:12" x14ac:dyDescent="0.2">
      <c r="J27">
        <f t="shared" si="2"/>
        <v>2.2200000000000011E-2</v>
      </c>
      <c r="K27">
        <f t="shared" si="0"/>
        <v>44.40000000000002</v>
      </c>
      <c r="L27">
        <f t="shared" si="1"/>
        <v>1110.0000000000005</v>
      </c>
    </row>
    <row r="28" spans="10:12" x14ac:dyDescent="0.2">
      <c r="J28">
        <f t="shared" si="2"/>
        <v>2.3200000000000012E-2</v>
      </c>
      <c r="K28">
        <f t="shared" si="0"/>
        <v>46.400000000000027</v>
      </c>
      <c r="L28">
        <f t="shared" si="1"/>
        <v>1160.0000000000007</v>
      </c>
    </row>
    <row r="29" spans="10:12" x14ac:dyDescent="0.2">
      <c r="J29">
        <f t="shared" si="2"/>
        <v>2.4200000000000013E-2</v>
      </c>
      <c r="K29">
        <f t="shared" si="0"/>
        <v>48.400000000000027</v>
      </c>
      <c r="L29">
        <f t="shared" si="1"/>
        <v>1210.0000000000007</v>
      </c>
    </row>
    <row r="30" spans="10:12" x14ac:dyDescent="0.2">
      <c r="J30">
        <f t="shared" si="2"/>
        <v>2.5200000000000014E-2</v>
      </c>
      <c r="K30">
        <f t="shared" si="0"/>
        <v>50.400000000000027</v>
      </c>
      <c r="L30">
        <f t="shared" si="1"/>
        <v>1260.0000000000007</v>
      </c>
    </row>
    <row r="31" spans="10:12" x14ac:dyDescent="0.2">
      <c r="J31">
        <f t="shared" si="2"/>
        <v>2.6200000000000015E-2</v>
      </c>
      <c r="K31">
        <f t="shared" si="0"/>
        <v>52.400000000000027</v>
      </c>
      <c r="L31">
        <f t="shared" si="1"/>
        <v>1310.0000000000007</v>
      </c>
    </row>
    <row r="32" spans="10:12" x14ac:dyDescent="0.2">
      <c r="J32">
        <f t="shared" si="2"/>
        <v>2.7200000000000016E-2</v>
      </c>
      <c r="K32">
        <f t="shared" si="0"/>
        <v>54.400000000000034</v>
      </c>
      <c r="L32">
        <f t="shared" si="1"/>
        <v>1360.0000000000009</v>
      </c>
    </row>
    <row r="33" spans="10:12" x14ac:dyDescent="0.2">
      <c r="J33">
        <f t="shared" si="2"/>
        <v>2.8200000000000017E-2</v>
      </c>
      <c r="K33">
        <f t="shared" si="0"/>
        <v>56.400000000000034</v>
      </c>
      <c r="L33">
        <f t="shared" si="1"/>
        <v>1410.0000000000009</v>
      </c>
    </row>
    <row r="34" spans="10:12" x14ac:dyDescent="0.2">
      <c r="J34">
        <f t="shared" si="2"/>
        <v>2.9200000000000018E-2</v>
      </c>
      <c r="K34">
        <f t="shared" si="0"/>
        <v>58.400000000000034</v>
      </c>
      <c r="L34">
        <f t="shared" si="1"/>
        <v>1460.0000000000009</v>
      </c>
    </row>
    <row r="35" spans="10:12" x14ac:dyDescent="0.2">
      <c r="J35">
        <f t="shared" si="2"/>
        <v>3.0200000000000018E-2</v>
      </c>
      <c r="K35">
        <f t="shared" si="0"/>
        <v>60.400000000000034</v>
      </c>
      <c r="L35">
        <f t="shared" si="1"/>
        <v>1510.0000000000009</v>
      </c>
    </row>
    <row r="36" spans="10:12" x14ac:dyDescent="0.2">
      <c r="J36">
        <f t="shared" si="2"/>
        <v>3.1200000000000019E-2</v>
      </c>
      <c r="K36">
        <f t="shared" si="0"/>
        <v>62.400000000000041</v>
      </c>
      <c r="L36">
        <f t="shared" si="1"/>
        <v>1560.0000000000009</v>
      </c>
    </row>
    <row r="37" spans="10:12" x14ac:dyDescent="0.2">
      <c r="J37">
        <f t="shared" si="2"/>
        <v>3.220000000000002E-2</v>
      </c>
      <c r="K37">
        <f t="shared" si="0"/>
        <v>64.400000000000034</v>
      </c>
      <c r="L37">
        <f t="shared" si="1"/>
        <v>1610.0000000000009</v>
      </c>
    </row>
    <row r="38" spans="10:12" x14ac:dyDescent="0.2">
      <c r="J38">
        <f t="shared" si="2"/>
        <v>3.3200000000000021E-2</v>
      </c>
      <c r="K38">
        <f t="shared" si="0"/>
        <v>66.400000000000048</v>
      </c>
      <c r="L38">
        <f t="shared" si="1"/>
        <v>1660.0000000000011</v>
      </c>
    </row>
    <row r="39" spans="10:12" x14ac:dyDescent="0.2">
      <c r="J39">
        <f t="shared" si="2"/>
        <v>3.4200000000000022E-2</v>
      </c>
      <c r="K39">
        <f t="shared" si="0"/>
        <v>68.400000000000048</v>
      </c>
      <c r="L39">
        <f t="shared" si="1"/>
        <v>1710.0000000000011</v>
      </c>
    </row>
    <row r="40" spans="10:12" x14ac:dyDescent="0.2">
      <c r="J40">
        <f t="shared" si="2"/>
        <v>3.5200000000000023E-2</v>
      </c>
      <c r="K40">
        <f t="shared" si="0"/>
        <v>70.400000000000048</v>
      </c>
      <c r="L40">
        <f t="shared" si="1"/>
        <v>1760.0000000000011</v>
      </c>
    </row>
    <row r="41" spans="10:12" x14ac:dyDescent="0.2">
      <c r="J41">
        <f t="shared" si="2"/>
        <v>3.6200000000000024E-2</v>
      </c>
      <c r="K41">
        <f t="shared" si="0"/>
        <v>72.400000000000048</v>
      </c>
      <c r="L41">
        <f t="shared" si="1"/>
        <v>1810.0000000000011</v>
      </c>
    </row>
    <row r="42" spans="10:12" x14ac:dyDescent="0.2">
      <c r="J42">
        <f t="shared" si="2"/>
        <v>3.7200000000000025E-2</v>
      </c>
      <c r="K42">
        <f t="shared" si="0"/>
        <v>74.400000000000048</v>
      </c>
      <c r="L42">
        <f t="shared" si="1"/>
        <v>1860.0000000000011</v>
      </c>
    </row>
    <row r="43" spans="10:12" x14ac:dyDescent="0.2">
      <c r="J43">
        <f t="shared" si="2"/>
        <v>3.8200000000000026E-2</v>
      </c>
      <c r="K43">
        <f t="shared" si="0"/>
        <v>76.400000000000048</v>
      </c>
      <c r="L43">
        <f t="shared" si="1"/>
        <v>1910.0000000000011</v>
      </c>
    </row>
    <row r="44" spans="10:12" x14ac:dyDescent="0.2">
      <c r="J44">
        <f t="shared" si="2"/>
        <v>3.9200000000000026E-2</v>
      </c>
      <c r="K44">
        <f t="shared" si="0"/>
        <v>78.400000000000048</v>
      </c>
      <c r="L44">
        <f t="shared" si="1"/>
        <v>1960.0000000000011</v>
      </c>
    </row>
    <row r="45" spans="10:12" x14ac:dyDescent="0.2">
      <c r="J45">
        <f t="shared" si="2"/>
        <v>4.0200000000000027E-2</v>
      </c>
      <c r="K45">
        <f t="shared" si="0"/>
        <v>80.400000000000048</v>
      </c>
      <c r="L45">
        <f t="shared" si="1"/>
        <v>2010.0000000000011</v>
      </c>
    </row>
    <row r="46" spans="10:12" x14ac:dyDescent="0.2">
      <c r="J46">
        <f t="shared" si="2"/>
        <v>4.1200000000000028E-2</v>
      </c>
      <c r="K46">
        <f t="shared" si="0"/>
        <v>82.400000000000063</v>
      </c>
      <c r="L46">
        <f t="shared" si="1"/>
        <v>2060.0000000000014</v>
      </c>
    </row>
    <row r="47" spans="10:12" x14ac:dyDescent="0.2">
      <c r="J47">
        <f t="shared" si="2"/>
        <v>4.2200000000000029E-2</v>
      </c>
      <c r="K47">
        <f t="shared" si="0"/>
        <v>84.400000000000063</v>
      </c>
      <c r="L47">
        <f t="shared" si="1"/>
        <v>2110.0000000000014</v>
      </c>
    </row>
    <row r="48" spans="10:12" x14ac:dyDescent="0.2">
      <c r="J48">
        <f t="shared" si="2"/>
        <v>4.320000000000003E-2</v>
      </c>
      <c r="K48">
        <f t="shared" si="0"/>
        <v>86.400000000000063</v>
      </c>
      <c r="L48">
        <f t="shared" si="1"/>
        <v>2160.0000000000014</v>
      </c>
    </row>
    <row r="49" spans="10:12" x14ac:dyDescent="0.2">
      <c r="J49">
        <f t="shared" si="2"/>
        <v>4.4200000000000031E-2</v>
      </c>
      <c r="K49">
        <f t="shared" si="0"/>
        <v>88.400000000000063</v>
      </c>
      <c r="L49">
        <f t="shared" si="1"/>
        <v>2210.0000000000014</v>
      </c>
    </row>
    <row r="50" spans="10:12" x14ac:dyDescent="0.2">
      <c r="J50">
        <f t="shared" si="2"/>
        <v>4.5200000000000032E-2</v>
      </c>
      <c r="K50">
        <f t="shared" si="0"/>
        <v>90.400000000000063</v>
      </c>
      <c r="L50">
        <f t="shared" si="1"/>
        <v>2260.0000000000014</v>
      </c>
    </row>
    <row r="51" spans="10:12" x14ac:dyDescent="0.2">
      <c r="J51">
        <f t="shared" si="2"/>
        <v>4.6200000000000033E-2</v>
      </c>
      <c r="K51">
        <f t="shared" si="0"/>
        <v>92.400000000000063</v>
      </c>
      <c r="L51">
        <f t="shared" si="1"/>
        <v>2310.0000000000014</v>
      </c>
    </row>
    <row r="52" spans="10:12" x14ac:dyDescent="0.2">
      <c r="J52">
        <f t="shared" si="2"/>
        <v>4.7200000000000034E-2</v>
      </c>
      <c r="K52">
        <f t="shared" si="0"/>
        <v>94.400000000000063</v>
      </c>
      <c r="L52">
        <f t="shared" si="1"/>
        <v>2360.0000000000014</v>
      </c>
    </row>
    <row r="53" spans="10:12" x14ac:dyDescent="0.2">
      <c r="J53">
        <f t="shared" si="2"/>
        <v>4.8200000000000034E-2</v>
      </c>
      <c r="K53">
        <f t="shared" si="0"/>
        <v>96.400000000000063</v>
      </c>
      <c r="L53">
        <f t="shared" si="1"/>
        <v>2410.0000000000014</v>
      </c>
    </row>
    <row r="54" spans="10:12" x14ac:dyDescent="0.2">
      <c r="J54">
        <f t="shared" si="2"/>
        <v>4.9200000000000035E-2</v>
      </c>
      <c r="K54">
        <f t="shared" si="0"/>
        <v>98.400000000000077</v>
      </c>
      <c r="L54">
        <f t="shared" si="1"/>
        <v>2460.0000000000018</v>
      </c>
    </row>
    <row r="55" spans="10:12" x14ac:dyDescent="0.2">
      <c r="J55">
        <f t="shared" si="2"/>
        <v>5.0200000000000036E-2</v>
      </c>
      <c r="K55">
        <f t="shared" si="0"/>
        <v>100.40000000000008</v>
      </c>
      <c r="L55">
        <f t="shared" si="1"/>
        <v>2510.0000000000018</v>
      </c>
    </row>
    <row r="56" spans="10:12" x14ac:dyDescent="0.2">
      <c r="J56">
        <f t="shared" si="2"/>
        <v>5.1200000000000037E-2</v>
      </c>
      <c r="K56">
        <f t="shared" si="0"/>
        <v>102.40000000000008</v>
      </c>
      <c r="L56">
        <f t="shared" si="1"/>
        <v>2560.0000000000018</v>
      </c>
    </row>
    <row r="57" spans="10:12" x14ac:dyDescent="0.2">
      <c r="J57">
        <f t="shared" si="2"/>
        <v>5.2200000000000038E-2</v>
      </c>
      <c r="K57">
        <f t="shared" si="0"/>
        <v>104.40000000000008</v>
      </c>
      <c r="L57">
        <f t="shared" si="1"/>
        <v>2610.0000000000018</v>
      </c>
    </row>
    <row r="58" spans="10:12" x14ac:dyDescent="0.2">
      <c r="J58">
        <f t="shared" si="2"/>
        <v>5.3200000000000039E-2</v>
      </c>
      <c r="K58">
        <f t="shared" si="0"/>
        <v>106.40000000000008</v>
      </c>
      <c r="L58">
        <f t="shared" si="1"/>
        <v>2660.0000000000018</v>
      </c>
    </row>
    <row r="59" spans="10:12" x14ac:dyDescent="0.2">
      <c r="J59">
        <f t="shared" si="2"/>
        <v>5.420000000000004E-2</v>
      </c>
      <c r="K59">
        <f t="shared" si="0"/>
        <v>108.40000000000008</v>
      </c>
      <c r="L59">
        <f t="shared" si="1"/>
        <v>2710.0000000000018</v>
      </c>
    </row>
    <row r="60" spans="10:12" x14ac:dyDescent="0.2">
      <c r="J60">
        <f t="shared" si="2"/>
        <v>5.5200000000000041E-2</v>
      </c>
      <c r="K60">
        <f t="shared" si="0"/>
        <v>110.40000000000008</v>
      </c>
      <c r="L60">
        <f t="shared" si="1"/>
        <v>2760.0000000000018</v>
      </c>
    </row>
    <row r="61" spans="10:12" x14ac:dyDescent="0.2">
      <c r="J61">
        <f t="shared" si="2"/>
        <v>5.6200000000000042E-2</v>
      </c>
      <c r="K61">
        <f t="shared" si="0"/>
        <v>112.40000000000008</v>
      </c>
      <c r="L61">
        <f t="shared" si="1"/>
        <v>2810.0000000000018</v>
      </c>
    </row>
    <row r="62" spans="10:12" x14ac:dyDescent="0.2">
      <c r="J62">
        <f t="shared" si="2"/>
        <v>5.7200000000000042E-2</v>
      </c>
      <c r="K62">
        <f t="shared" si="0"/>
        <v>114.40000000000009</v>
      </c>
      <c r="L62">
        <f t="shared" si="1"/>
        <v>2860.0000000000023</v>
      </c>
    </row>
    <row r="63" spans="10:12" x14ac:dyDescent="0.2">
      <c r="J63">
        <f t="shared" si="2"/>
        <v>5.8200000000000043E-2</v>
      </c>
      <c r="K63">
        <f t="shared" si="0"/>
        <v>116.40000000000009</v>
      </c>
      <c r="L63">
        <f t="shared" si="1"/>
        <v>2910.0000000000023</v>
      </c>
    </row>
    <row r="64" spans="10:12" x14ac:dyDescent="0.2">
      <c r="J64">
        <f t="shared" si="2"/>
        <v>5.9200000000000044E-2</v>
      </c>
      <c r="K64">
        <f t="shared" si="0"/>
        <v>118.40000000000009</v>
      </c>
      <c r="L64">
        <f t="shared" si="1"/>
        <v>2960.0000000000023</v>
      </c>
    </row>
    <row r="65" spans="10:12" x14ac:dyDescent="0.2">
      <c r="J65">
        <f t="shared" si="2"/>
        <v>6.0200000000000045E-2</v>
      </c>
      <c r="K65">
        <f t="shared" si="0"/>
        <v>120.40000000000009</v>
      </c>
      <c r="L65">
        <f t="shared" si="1"/>
        <v>3010.0000000000023</v>
      </c>
    </row>
    <row r="66" spans="10:12" x14ac:dyDescent="0.2">
      <c r="J66">
        <f t="shared" si="2"/>
        <v>6.1200000000000046E-2</v>
      </c>
      <c r="K66">
        <f t="shared" si="0"/>
        <v>122.40000000000009</v>
      </c>
      <c r="L66">
        <f t="shared" si="1"/>
        <v>3060.0000000000023</v>
      </c>
    </row>
    <row r="67" spans="10:12" x14ac:dyDescent="0.2">
      <c r="J67">
        <f t="shared" si="2"/>
        <v>6.2200000000000047E-2</v>
      </c>
      <c r="K67">
        <f t="shared" si="0"/>
        <v>124.40000000000009</v>
      </c>
      <c r="L67">
        <f t="shared" si="1"/>
        <v>3110.0000000000023</v>
      </c>
    </row>
    <row r="68" spans="10:12" x14ac:dyDescent="0.2">
      <c r="J68">
        <f t="shared" si="2"/>
        <v>6.3200000000000048E-2</v>
      </c>
      <c r="K68">
        <f t="shared" si="0"/>
        <v>126.40000000000009</v>
      </c>
      <c r="L68">
        <f t="shared" si="1"/>
        <v>3160.0000000000023</v>
      </c>
    </row>
    <row r="69" spans="10:12" x14ac:dyDescent="0.2">
      <c r="J69">
        <f t="shared" si="2"/>
        <v>6.4200000000000049E-2</v>
      </c>
      <c r="K69">
        <f t="shared" si="0"/>
        <v>128.40000000000009</v>
      </c>
      <c r="L69">
        <f t="shared" si="1"/>
        <v>3210.0000000000023</v>
      </c>
    </row>
    <row r="70" spans="10:12" x14ac:dyDescent="0.2">
      <c r="J70">
        <f t="shared" si="2"/>
        <v>6.520000000000005E-2</v>
      </c>
      <c r="K70">
        <f t="shared" ref="K70:K133" si="3">J70*D$9/D$4</f>
        <v>130.40000000000009</v>
      </c>
      <c r="L70">
        <f t="shared" ref="L70:L133" si="4">J70*D$9/D$3</f>
        <v>3260.0000000000023</v>
      </c>
    </row>
    <row r="71" spans="10:12" x14ac:dyDescent="0.2">
      <c r="J71">
        <f t="shared" ref="J71:J134" si="5">J70+0.001</f>
        <v>6.620000000000005E-2</v>
      </c>
      <c r="K71">
        <f t="shared" si="3"/>
        <v>132.40000000000009</v>
      </c>
      <c r="L71">
        <f t="shared" si="4"/>
        <v>3310.0000000000023</v>
      </c>
    </row>
    <row r="72" spans="10:12" x14ac:dyDescent="0.2">
      <c r="J72">
        <f t="shared" si="5"/>
        <v>6.7200000000000051E-2</v>
      </c>
      <c r="K72">
        <f t="shared" si="3"/>
        <v>134.40000000000009</v>
      </c>
      <c r="L72">
        <f t="shared" si="4"/>
        <v>3360.0000000000023</v>
      </c>
    </row>
    <row r="73" spans="10:12" x14ac:dyDescent="0.2">
      <c r="J73">
        <f t="shared" si="5"/>
        <v>6.8200000000000052E-2</v>
      </c>
      <c r="K73">
        <f t="shared" si="3"/>
        <v>136.40000000000009</v>
      </c>
      <c r="L73">
        <f t="shared" si="4"/>
        <v>3410.0000000000023</v>
      </c>
    </row>
    <row r="74" spans="10:12" x14ac:dyDescent="0.2">
      <c r="J74">
        <f t="shared" si="5"/>
        <v>6.9200000000000053E-2</v>
      </c>
      <c r="K74">
        <f t="shared" si="3"/>
        <v>138.40000000000012</v>
      </c>
      <c r="L74">
        <f t="shared" si="4"/>
        <v>3460.0000000000027</v>
      </c>
    </row>
    <row r="75" spans="10:12" x14ac:dyDescent="0.2">
      <c r="J75">
        <f t="shared" si="5"/>
        <v>7.0200000000000054E-2</v>
      </c>
      <c r="K75">
        <f t="shared" si="3"/>
        <v>140.40000000000012</v>
      </c>
      <c r="L75">
        <f t="shared" si="4"/>
        <v>3510.0000000000027</v>
      </c>
    </row>
    <row r="76" spans="10:12" x14ac:dyDescent="0.2">
      <c r="J76">
        <f t="shared" si="5"/>
        <v>7.1200000000000055E-2</v>
      </c>
      <c r="K76">
        <f t="shared" si="3"/>
        <v>142.40000000000012</v>
      </c>
      <c r="L76">
        <f t="shared" si="4"/>
        <v>3560.0000000000027</v>
      </c>
    </row>
    <row r="77" spans="10:12" x14ac:dyDescent="0.2">
      <c r="J77">
        <f t="shared" si="5"/>
        <v>7.2200000000000056E-2</v>
      </c>
      <c r="K77">
        <f t="shared" si="3"/>
        <v>144.40000000000012</v>
      </c>
      <c r="L77">
        <f t="shared" si="4"/>
        <v>3610.0000000000027</v>
      </c>
    </row>
    <row r="78" spans="10:12" x14ac:dyDescent="0.2">
      <c r="J78">
        <f t="shared" si="5"/>
        <v>7.3200000000000057E-2</v>
      </c>
      <c r="K78">
        <f t="shared" si="3"/>
        <v>146.40000000000012</v>
      </c>
      <c r="L78">
        <f t="shared" si="4"/>
        <v>3660.0000000000027</v>
      </c>
    </row>
    <row r="79" spans="10:12" x14ac:dyDescent="0.2">
      <c r="J79">
        <f t="shared" si="5"/>
        <v>7.4200000000000058E-2</v>
      </c>
      <c r="K79">
        <f t="shared" si="3"/>
        <v>148.40000000000012</v>
      </c>
      <c r="L79">
        <f t="shared" si="4"/>
        <v>3710.0000000000027</v>
      </c>
    </row>
    <row r="80" spans="10:12" x14ac:dyDescent="0.2">
      <c r="J80">
        <f t="shared" si="5"/>
        <v>7.5200000000000058E-2</v>
      </c>
      <c r="K80">
        <f t="shared" si="3"/>
        <v>150.40000000000012</v>
      </c>
      <c r="L80">
        <f t="shared" si="4"/>
        <v>3760.0000000000027</v>
      </c>
    </row>
    <row r="81" spans="10:12" x14ac:dyDescent="0.2">
      <c r="J81">
        <f t="shared" si="5"/>
        <v>7.6200000000000059E-2</v>
      </c>
      <c r="K81">
        <f t="shared" si="3"/>
        <v>152.40000000000012</v>
      </c>
      <c r="L81">
        <f t="shared" si="4"/>
        <v>3810.0000000000027</v>
      </c>
    </row>
    <row r="82" spans="10:12" x14ac:dyDescent="0.2">
      <c r="J82">
        <f t="shared" si="5"/>
        <v>7.720000000000006E-2</v>
      </c>
      <c r="K82">
        <f t="shared" si="3"/>
        <v>154.40000000000012</v>
      </c>
      <c r="L82">
        <f t="shared" si="4"/>
        <v>3860.0000000000027</v>
      </c>
    </row>
    <row r="83" spans="10:12" x14ac:dyDescent="0.2">
      <c r="J83">
        <f t="shared" si="5"/>
        <v>7.8200000000000061E-2</v>
      </c>
      <c r="K83">
        <f t="shared" si="3"/>
        <v>156.40000000000012</v>
      </c>
      <c r="L83">
        <f t="shared" si="4"/>
        <v>3910.0000000000027</v>
      </c>
    </row>
    <row r="84" spans="10:12" x14ac:dyDescent="0.2">
      <c r="J84">
        <f t="shared" si="5"/>
        <v>7.9200000000000062E-2</v>
      </c>
      <c r="K84">
        <f t="shared" si="3"/>
        <v>158.40000000000012</v>
      </c>
      <c r="L84">
        <f t="shared" si="4"/>
        <v>3960.0000000000027</v>
      </c>
    </row>
    <row r="85" spans="10:12" x14ac:dyDescent="0.2">
      <c r="J85">
        <f t="shared" si="5"/>
        <v>8.0200000000000063E-2</v>
      </c>
      <c r="K85">
        <f t="shared" si="3"/>
        <v>160.40000000000012</v>
      </c>
      <c r="L85">
        <f t="shared" si="4"/>
        <v>4010.0000000000027</v>
      </c>
    </row>
    <row r="86" spans="10:12" x14ac:dyDescent="0.2">
      <c r="J86">
        <f t="shared" si="5"/>
        <v>8.1200000000000064E-2</v>
      </c>
      <c r="K86">
        <f t="shared" si="3"/>
        <v>162.40000000000012</v>
      </c>
      <c r="L86">
        <f t="shared" si="4"/>
        <v>4060.0000000000027</v>
      </c>
    </row>
    <row r="87" spans="10:12" x14ac:dyDescent="0.2">
      <c r="J87">
        <f t="shared" si="5"/>
        <v>8.2200000000000065E-2</v>
      </c>
      <c r="K87">
        <f t="shared" si="3"/>
        <v>164.40000000000012</v>
      </c>
      <c r="L87">
        <f t="shared" si="4"/>
        <v>4110.0000000000027</v>
      </c>
    </row>
    <row r="88" spans="10:12" x14ac:dyDescent="0.2">
      <c r="J88">
        <f t="shared" si="5"/>
        <v>8.3200000000000066E-2</v>
      </c>
      <c r="K88">
        <f t="shared" si="3"/>
        <v>166.40000000000012</v>
      </c>
      <c r="L88">
        <f t="shared" si="4"/>
        <v>4160.0000000000027</v>
      </c>
    </row>
    <row r="89" spans="10:12" x14ac:dyDescent="0.2">
      <c r="J89">
        <f t="shared" si="5"/>
        <v>8.4200000000000066E-2</v>
      </c>
      <c r="K89">
        <f t="shared" si="3"/>
        <v>168.40000000000012</v>
      </c>
      <c r="L89">
        <f t="shared" si="4"/>
        <v>4210.0000000000027</v>
      </c>
    </row>
    <row r="90" spans="10:12" x14ac:dyDescent="0.2">
      <c r="J90">
        <f t="shared" si="5"/>
        <v>8.5200000000000067E-2</v>
      </c>
      <c r="K90">
        <f t="shared" si="3"/>
        <v>170.40000000000015</v>
      </c>
      <c r="L90">
        <f t="shared" si="4"/>
        <v>4260.0000000000036</v>
      </c>
    </row>
    <row r="91" spans="10:12" x14ac:dyDescent="0.2">
      <c r="J91">
        <f t="shared" si="5"/>
        <v>8.6200000000000068E-2</v>
      </c>
      <c r="K91">
        <f t="shared" si="3"/>
        <v>172.40000000000015</v>
      </c>
      <c r="L91">
        <f t="shared" si="4"/>
        <v>4310.0000000000036</v>
      </c>
    </row>
    <row r="92" spans="10:12" x14ac:dyDescent="0.2">
      <c r="J92">
        <f t="shared" si="5"/>
        <v>8.7200000000000069E-2</v>
      </c>
      <c r="K92">
        <f t="shared" si="3"/>
        <v>174.40000000000015</v>
      </c>
      <c r="L92">
        <f t="shared" si="4"/>
        <v>4360.0000000000036</v>
      </c>
    </row>
    <row r="93" spans="10:12" x14ac:dyDescent="0.2">
      <c r="J93">
        <f t="shared" si="5"/>
        <v>8.820000000000007E-2</v>
      </c>
      <c r="K93">
        <f t="shared" si="3"/>
        <v>176.40000000000015</v>
      </c>
      <c r="L93">
        <f t="shared" si="4"/>
        <v>4410.0000000000036</v>
      </c>
    </row>
    <row r="94" spans="10:12" x14ac:dyDescent="0.2">
      <c r="J94">
        <f t="shared" si="5"/>
        <v>8.9200000000000071E-2</v>
      </c>
      <c r="K94">
        <f t="shared" si="3"/>
        <v>178.40000000000015</v>
      </c>
      <c r="L94">
        <f t="shared" si="4"/>
        <v>4460.0000000000036</v>
      </c>
    </row>
    <row r="95" spans="10:12" x14ac:dyDescent="0.2">
      <c r="J95">
        <f t="shared" si="5"/>
        <v>9.0200000000000072E-2</v>
      </c>
      <c r="K95">
        <f t="shared" si="3"/>
        <v>180.40000000000015</v>
      </c>
      <c r="L95">
        <f t="shared" si="4"/>
        <v>4510.0000000000036</v>
      </c>
    </row>
    <row r="96" spans="10:12" x14ac:dyDescent="0.2">
      <c r="J96">
        <f t="shared" si="5"/>
        <v>9.1200000000000073E-2</v>
      </c>
      <c r="K96">
        <f t="shared" si="3"/>
        <v>182.40000000000015</v>
      </c>
      <c r="L96">
        <f t="shared" si="4"/>
        <v>4560.0000000000036</v>
      </c>
    </row>
    <row r="97" spans="10:12" x14ac:dyDescent="0.2">
      <c r="J97">
        <f t="shared" si="5"/>
        <v>9.2200000000000074E-2</v>
      </c>
      <c r="K97">
        <f t="shared" si="3"/>
        <v>184.40000000000015</v>
      </c>
      <c r="L97">
        <f t="shared" si="4"/>
        <v>4610.0000000000036</v>
      </c>
    </row>
    <row r="98" spans="10:12" x14ac:dyDescent="0.2">
      <c r="J98">
        <f t="shared" si="5"/>
        <v>9.3200000000000074E-2</v>
      </c>
      <c r="K98">
        <f t="shared" si="3"/>
        <v>186.40000000000015</v>
      </c>
      <c r="L98">
        <f t="shared" si="4"/>
        <v>4660.0000000000036</v>
      </c>
    </row>
    <row r="99" spans="10:12" x14ac:dyDescent="0.2">
      <c r="J99">
        <f t="shared" si="5"/>
        <v>9.4200000000000075E-2</v>
      </c>
      <c r="K99">
        <f t="shared" si="3"/>
        <v>188.40000000000015</v>
      </c>
      <c r="L99">
        <f t="shared" si="4"/>
        <v>4710.0000000000036</v>
      </c>
    </row>
    <row r="100" spans="10:12" x14ac:dyDescent="0.2">
      <c r="J100">
        <f t="shared" si="5"/>
        <v>9.5200000000000076E-2</v>
      </c>
      <c r="K100">
        <f t="shared" si="3"/>
        <v>190.40000000000015</v>
      </c>
      <c r="L100">
        <f t="shared" si="4"/>
        <v>4760.0000000000036</v>
      </c>
    </row>
    <row r="101" spans="10:12" x14ac:dyDescent="0.2">
      <c r="J101">
        <f t="shared" si="5"/>
        <v>9.6200000000000077E-2</v>
      </c>
      <c r="K101">
        <f t="shared" si="3"/>
        <v>192.40000000000015</v>
      </c>
      <c r="L101">
        <f t="shared" si="4"/>
        <v>4810.0000000000036</v>
      </c>
    </row>
    <row r="102" spans="10:12" x14ac:dyDescent="0.2">
      <c r="J102">
        <f t="shared" si="5"/>
        <v>9.7200000000000078E-2</v>
      </c>
      <c r="K102">
        <f t="shared" si="3"/>
        <v>194.40000000000015</v>
      </c>
      <c r="L102">
        <f t="shared" si="4"/>
        <v>4860.0000000000036</v>
      </c>
    </row>
    <row r="103" spans="10:12" x14ac:dyDescent="0.2">
      <c r="J103">
        <f t="shared" si="5"/>
        <v>9.8200000000000079E-2</v>
      </c>
      <c r="K103">
        <f t="shared" si="3"/>
        <v>196.40000000000015</v>
      </c>
      <c r="L103">
        <f t="shared" si="4"/>
        <v>4910.0000000000036</v>
      </c>
    </row>
    <row r="104" spans="10:12" x14ac:dyDescent="0.2">
      <c r="J104">
        <f t="shared" si="5"/>
        <v>9.920000000000008E-2</v>
      </c>
      <c r="K104">
        <f t="shared" si="3"/>
        <v>198.40000000000015</v>
      </c>
      <c r="L104">
        <f t="shared" si="4"/>
        <v>4960.0000000000036</v>
      </c>
    </row>
    <row r="105" spans="10:12" x14ac:dyDescent="0.2">
      <c r="J105">
        <f t="shared" si="5"/>
        <v>0.10020000000000008</v>
      </c>
      <c r="K105">
        <f t="shared" si="3"/>
        <v>200.40000000000015</v>
      </c>
      <c r="L105">
        <f t="shared" si="4"/>
        <v>5010.0000000000036</v>
      </c>
    </row>
    <row r="106" spans="10:12" x14ac:dyDescent="0.2">
      <c r="J106">
        <f t="shared" si="5"/>
        <v>0.10120000000000008</v>
      </c>
      <c r="K106">
        <f t="shared" si="3"/>
        <v>202.40000000000018</v>
      </c>
      <c r="L106">
        <f t="shared" si="4"/>
        <v>5060.0000000000045</v>
      </c>
    </row>
    <row r="107" spans="10:12" x14ac:dyDescent="0.2">
      <c r="J107">
        <f t="shared" si="5"/>
        <v>0.10220000000000008</v>
      </c>
      <c r="K107">
        <f t="shared" si="3"/>
        <v>204.40000000000018</v>
      </c>
      <c r="L107">
        <f t="shared" si="4"/>
        <v>5110.0000000000045</v>
      </c>
    </row>
    <row r="108" spans="10:12" x14ac:dyDescent="0.2">
      <c r="J108">
        <f t="shared" si="5"/>
        <v>0.10320000000000008</v>
      </c>
      <c r="K108">
        <f t="shared" si="3"/>
        <v>206.40000000000018</v>
      </c>
      <c r="L108">
        <f t="shared" si="4"/>
        <v>5160.0000000000045</v>
      </c>
    </row>
    <row r="109" spans="10:12" x14ac:dyDescent="0.2">
      <c r="J109">
        <f t="shared" si="5"/>
        <v>0.10420000000000008</v>
      </c>
      <c r="K109">
        <f t="shared" si="3"/>
        <v>208.40000000000018</v>
      </c>
      <c r="L109">
        <f t="shared" si="4"/>
        <v>5210.0000000000045</v>
      </c>
    </row>
    <row r="110" spans="10:12" x14ac:dyDescent="0.2">
      <c r="J110">
        <f t="shared" si="5"/>
        <v>0.10520000000000009</v>
      </c>
      <c r="K110">
        <f t="shared" si="3"/>
        <v>210.40000000000018</v>
      </c>
      <c r="L110">
        <f t="shared" si="4"/>
        <v>5260.0000000000045</v>
      </c>
    </row>
    <row r="111" spans="10:12" x14ac:dyDescent="0.2">
      <c r="J111">
        <f t="shared" si="5"/>
        <v>0.10620000000000009</v>
      </c>
      <c r="K111">
        <f t="shared" si="3"/>
        <v>212.40000000000018</v>
      </c>
      <c r="L111">
        <f t="shared" si="4"/>
        <v>5310.0000000000045</v>
      </c>
    </row>
    <row r="112" spans="10:12" x14ac:dyDescent="0.2">
      <c r="J112">
        <f t="shared" si="5"/>
        <v>0.10720000000000009</v>
      </c>
      <c r="K112">
        <f t="shared" si="3"/>
        <v>214.40000000000018</v>
      </c>
      <c r="L112">
        <f t="shared" si="4"/>
        <v>5360.0000000000045</v>
      </c>
    </row>
    <row r="113" spans="10:12" x14ac:dyDescent="0.2">
      <c r="J113">
        <f t="shared" si="5"/>
        <v>0.10820000000000009</v>
      </c>
      <c r="K113">
        <f t="shared" si="3"/>
        <v>216.40000000000018</v>
      </c>
      <c r="L113">
        <f t="shared" si="4"/>
        <v>5410.0000000000045</v>
      </c>
    </row>
    <row r="114" spans="10:12" x14ac:dyDescent="0.2">
      <c r="J114">
        <f t="shared" si="5"/>
        <v>0.10920000000000009</v>
      </c>
      <c r="K114">
        <f t="shared" si="3"/>
        <v>218.40000000000018</v>
      </c>
      <c r="L114">
        <f t="shared" si="4"/>
        <v>5460.0000000000045</v>
      </c>
    </row>
    <row r="115" spans="10:12" x14ac:dyDescent="0.2">
      <c r="J115">
        <f t="shared" si="5"/>
        <v>0.11020000000000009</v>
      </c>
      <c r="K115">
        <f t="shared" si="3"/>
        <v>220.40000000000018</v>
      </c>
      <c r="L115">
        <f t="shared" si="4"/>
        <v>5510.0000000000045</v>
      </c>
    </row>
    <row r="116" spans="10:12" x14ac:dyDescent="0.2">
      <c r="J116">
        <f t="shared" si="5"/>
        <v>0.11120000000000009</v>
      </c>
      <c r="K116">
        <f t="shared" si="3"/>
        <v>222.40000000000018</v>
      </c>
      <c r="L116">
        <f t="shared" si="4"/>
        <v>5560.0000000000045</v>
      </c>
    </row>
    <row r="117" spans="10:12" x14ac:dyDescent="0.2">
      <c r="J117" t="s">
        <v>285</v>
      </c>
      <c r="K117" t="e">
        <f t="shared" si="3"/>
        <v>#VALUE!</v>
      </c>
      <c r="L117" t="e">
        <f t="shared" si="4"/>
        <v>#VALUE!</v>
      </c>
    </row>
    <row r="118" spans="10:12" x14ac:dyDescent="0.2">
      <c r="J118" t="s">
        <v>285</v>
      </c>
      <c r="K118" t="e">
        <f t="shared" si="3"/>
        <v>#VALUE!</v>
      </c>
      <c r="L118" t="e">
        <f t="shared" si="4"/>
        <v>#VALUE!</v>
      </c>
    </row>
    <row r="119" spans="10:12" x14ac:dyDescent="0.2">
      <c r="J119" t="s">
        <v>285</v>
      </c>
      <c r="K119" t="e">
        <f t="shared" si="3"/>
        <v>#VALUE!</v>
      </c>
      <c r="L119" t="e">
        <f t="shared" si="4"/>
        <v>#VALUE!</v>
      </c>
    </row>
    <row r="120" spans="10:12" x14ac:dyDescent="0.2">
      <c r="J120" t="s">
        <v>285</v>
      </c>
      <c r="K120" t="e">
        <f t="shared" si="3"/>
        <v>#VALUE!</v>
      </c>
      <c r="L120" t="e">
        <f t="shared" si="4"/>
        <v>#VALUE!</v>
      </c>
    </row>
    <row r="121" spans="10:12" x14ac:dyDescent="0.2">
      <c r="J121" t="s">
        <v>285</v>
      </c>
      <c r="K121" t="e">
        <f t="shared" si="3"/>
        <v>#VALUE!</v>
      </c>
      <c r="L121" t="e">
        <f t="shared" si="4"/>
        <v>#VALUE!</v>
      </c>
    </row>
    <row r="122" spans="10:12" x14ac:dyDescent="0.2">
      <c r="J122" t="s">
        <v>285</v>
      </c>
      <c r="K122" t="e">
        <f t="shared" si="3"/>
        <v>#VALUE!</v>
      </c>
      <c r="L122" t="e">
        <f t="shared" si="4"/>
        <v>#VALUE!</v>
      </c>
    </row>
    <row r="123" spans="10:12" x14ac:dyDescent="0.2">
      <c r="J123" t="s">
        <v>285</v>
      </c>
      <c r="K123" t="e">
        <f t="shared" si="3"/>
        <v>#VALUE!</v>
      </c>
      <c r="L123" t="e">
        <f t="shared" si="4"/>
        <v>#VALUE!</v>
      </c>
    </row>
    <row r="124" spans="10:12" x14ac:dyDescent="0.2">
      <c r="J124" t="s">
        <v>285</v>
      </c>
      <c r="K124" t="e">
        <f t="shared" si="3"/>
        <v>#VALUE!</v>
      </c>
      <c r="L124" t="e">
        <f t="shared" si="4"/>
        <v>#VALUE!</v>
      </c>
    </row>
    <row r="125" spans="10:12" x14ac:dyDescent="0.2">
      <c r="J125" t="s">
        <v>285</v>
      </c>
      <c r="K125" t="e">
        <f t="shared" si="3"/>
        <v>#VALUE!</v>
      </c>
      <c r="L125" t="e">
        <f t="shared" si="4"/>
        <v>#VALUE!</v>
      </c>
    </row>
    <row r="126" spans="10:12" x14ac:dyDescent="0.2">
      <c r="J126" t="s">
        <v>285</v>
      </c>
      <c r="K126" t="e">
        <f t="shared" si="3"/>
        <v>#VALUE!</v>
      </c>
      <c r="L126" t="e">
        <f t="shared" si="4"/>
        <v>#VALUE!</v>
      </c>
    </row>
    <row r="127" spans="10:12" x14ac:dyDescent="0.2">
      <c r="J127" t="s">
        <v>285</v>
      </c>
      <c r="K127" t="e">
        <f t="shared" si="3"/>
        <v>#VALUE!</v>
      </c>
      <c r="L127" t="e">
        <f t="shared" si="4"/>
        <v>#VALUE!</v>
      </c>
    </row>
    <row r="128" spans="10:12" x14ac:dyDescent="0.2">
      <c r="J128" t="s">
        <v>285</v>
      </c>
      <c r="K128" t="e">
        <f t="shared" si="3"/>
        <v>#VALUE!</v>
      </c>
      <c r="L128" t="e">
        <f t="shared" si="4"/>
        <v>#VALUE!</v>
      </c>
    </row>
    <row r="129" spans="10:12" x14ac:dyDescent="0.2">
      <c r="J129" t="s">
        <v>285</v>
      </c>
      <c r="K129" t="e">
        <f t="shared" si="3"/>
        <v>#VALUE!</v>
      </c>
      <c r="L129" t="e">
        <f t="shared" si="4"/>
        <v>#VALUE!</v>
      </c>
    </row>
    <row r="130" spans="10:12" x14ac:dyDescent="0.2">
      <c r="J130" t="s">
        <v>285</v>
      </c>
      <c r="K130" t="e">
        <f t="shared" si="3"/>
        <v>#VALUE!</v>
      </c>
      <c r="L130" t="e">
        <f t="shared" si="4"/>
        <v>#VALUE!</v>
      </c>
    </row>
    <row r="131" spans="10:12" x14ac:dyDescent="0.2">
      <c r="J131" t="s">
        <v>285</v>
      </c>
      <c r="K131" t="e">
        <f t="shared" si="3"/>
        <v>#VALUE!</v>
      </c>
      <c r="L131" t="e">
        <f t="shared" si="4"/>
        <v>#VALUE!</v>
      </c>
    </row>
    <row r="132" spans="10:12" x14ac:dyDescent="0.2">
      <c r="J132" t="s">
        <v>285</v>
      </c>
      <c r="K132" t="e">
        <f t="shared" si="3"/>
        <v>#VALUE!</v>
      </c>
      <c r="L132" t="e">
        <f t="shared" si="4"/>
        <v>#VALUE!</v>
      </c>
    </row>
    <row r="133" spans="10:12" x14ac:dyDescent="0.2">
      <c r="J133" t="s">
        <v>285</v>
      </c>
      <c r="K133" t="e">
        <f t="shared" si="3"/>
        <v>#VALUE!</v>
      </c>
      <c r="L133" t="e">
        <f t="shared" si="4"/>
        <v>#VALUE!</v>
      </c>
    </row>
    <row r="134" spans="10:12" x14ac:dyDescent="0.2">
      <c r="J134" t="s">
        <v>285</v>
      </c>
      <c r="K134" t="e">
        <f t="shared" ref="K134:K197" si="6">J134*D$9/D$4</f>
        <v>#VALUE!</v>
      </c>
      <c r="L134" t="e">
        <f t="shared" ref="L134:L197" si="7">J134*D$9/D$3</f>
        <v>#VALUE!</v>
      </c>
    </row>
    <row r="135" spans="10:12" x14ac:dyDescent="0.2">
      <c r="J135" t="s">
        <v>285</v>
      </c>
      <c r="K135" t="e">
        <f t="shared" si="6"/>
        <v>#VALUE!</v>
      </c>
      <c r="L135" t="e">
        <f t="shared" si="7"/>
        <v>#VALUE!</v>
      </c>
    </row>
    <row r="136" spans="10:12" x14ac:dyDescent="0.2">
      <c r="J136" t="s">
        <v>285</v>
      </c>
      <c r="K136" t="e">
        <f t="shared" si="6"/>
        <v>#VALUE!</v>
      </c>
      <c r="L136" t="e">
        <f t="shared" si="7"/>
        <v>#VALUE!</v>
      </c>
    </row>
    <row r="137" spans="10:12" x14ac:dyDescent="0.2">
      <c r="J137" t="s">
        <v>285</v>
      </c>
      <c r="K137" t="e">
        <f t="shared" si="6"/>
        <v>#VALUE!</v>
      </c>
      <c r="L137" t="e">
        <f t="shared" si="7"/>
        <v>#VALUE!</v>
      </c>
    </row>
    <row r="138" spans="10:12" x14ac:dyDescent="0.2">
      <c r="J138" t="s">
        <v>285</v>
      </c>
      <c r="K138" t="e">
        <f t="shared" si="6"/>
        <v>#VALUE!</v>
      </c>
      <c r="L138" t="e">
        <f t="shared" si="7"/>
        <v>#VALUE!</v>
      </c>
    </row>
    <row r="139" spans="10:12" x14ac:dyDescent="0.2">
      <c r="J139" t="s">
        <v>285</v>
      </c>
      <c r="K139" t="e">
        <f t="shared" si="6"/>
        <v>#VALUE!</v>
      </c>
      <c r="L139" t="e">
        <f t="shared" si="7"/>
        <v>#VALUE!</v>
      </c>
    </row>
    <row r="140" spans="10:12" x14ac:dyDescent="0.2">
      <c r="J140" t="s">
        <v>285</v>
      </c>
      <c r="K140" t="e">
        <f t="shared" si="6"/>
        <v>#VALUE!</v>
      </c>
      <c r="L140" t="e">
        <f t="shared" si="7"/>
        <v>#VALUE!</v>
      </c>
    </row>
    <row r="141" spans="10:12" x14ac:dyDescent="0.2">
      <c r="J141" t="s">
        <v>285</v>
      </c>
      <c r="K141" t="e">
        <f t="shared" si="6"/>
        <v>#VALUE!</v>
      </c>
      <c r="L141" t="e">
        <f t="shared" si="7"/>
        <v>#VALUE!</v>
      </c>
    </row>
    <row r="142" spans="10:12" x14ac:dyDescent="0.2">
      <c r="J142" t="s">
        <v>285</v>
      </c>
      <c r="K142" t="e">
        <f t="shared" si="6"/>
        <v>#VALUE!</v>
      </c>
      <c r="L142" t="e">
        <f t="shared" si="7"/>
        <v>#VALUE!</v>
      </c>
    </row>
    <row r="143" spans="10:12" x14ac:dyDescent="0.2">
      <c r="J143" t="s">
        <v>285</v>
      </c>
      <c r="K143" t="e">
        <f t="shared" si="6"/>
        <v>#VALUE!</v>
      </c>
      <c r="L143" t="e">
        <f t="shared" si="7"/>
        <v>#VALUE!</v>
      </c>
    </row>
    <row r="144" spans="10:12" x14ac:dyDescent="0.2">
      <c r="J144" t="s">
        <v>285</v>
      </c>
      <c r="K144" t="e">
        <f t="shared" si="6"/>
        <v>#VALUE!</v>
      </c>
      <c r="L144" t="e">
        <f t="shared" si="7"/>
        <v>#VALUE!</v>
      </c>
    </row>
    <row r="145" spans="10:12" x14ac:dyDescent="0.2">
      <c r="J145" t="s">
        <v>285</v>
      </c>
      <c r="K145" t="e">
        <f t="shared" si="6"/>
        <v>#VALUE!</v>
      </c>
      <c r="L145" t="e">
        <f t="shared" si="7"/>
        <v>#VALUE!</v>
      </c>
    </row>
    <row r="146" spans="10:12" x14ac:dyDescent="0.2">
      <c r="J146" t="s">
        <v>285</v>
      </c>
      <c r="K146" t="e">
        <f t="shared" si="6"/>
        <v>#VALUE!</v>
      </c>
      <c r="L146" t="e">
        <f t="shared" si="7"/>
        <v>#VALUE!</v>
      </c>
    </row>
    <row r="147" spans="10:12" x14ac:dyDescent="0.2">
      <c r="J147" t="s">
        <v>285</v>
      </c>
      <c r="K147" t="e">
        <f t="shared" si="6"/>
        <v>#VALUE!</v>
      </c>
      <c r="L147" t="e">
        <f t="shared" si="7"/>
        <v>#VALUE!</v>
      </c>
    </row>
    <row r="148" spans="10:12" x14ac:dyDescent="0.2">
      <c r="J148" t="s">
        <v>285</v>
      </c>
      <c r="K148" t="e">
        <f t="shared" si="6"/>
        <v>#VALUE!</v>
      </c>
      <c r="L148" t="e">
        <f t="shared" si="7"/>
        <v>#VALUE!</v>
      </c>
    </row>
    <row r="149" spans="10:12" x14ac:dyDescent="0.2">
      <c r="J149" t="s">
        <v>285</v>
      </c>
      <c r="K149" t="e">
        <f t="shared" si="6"/>
        <v>#VALUE!</v>
      </c>
      <c r="L149" t="e">
        <f t="shared" si="7"/>
        <v>#VALUE!</v>
      </c>
    </row>
    <row r="150" spans="10:12" x14ac:dyDescent="0.2">
      <c r="J150" t="s">
        <v>285</v>
      </c>
      <c r="K150" t="e">
        <f t="shared" si="6"/>
        <v>#VALUE!</v>
      </c>
      <c r="L150" t="e">
        <f t="shared" si="7"/>
        <v>#VALUE!</v>
      </c>
    </row>
    <row r="151" spans="10:12" x14ac:dyDescent="0.2">
      <c r="J151" t="s">
        <v>285</v>
      </c>
      <c r="K151" t="e">
        <f t="shared" si="6"/>
        <v>#VALUE!</v>
      </c>
      <c r="L151" t="e">
        <f t="shared" si="7"/>
        <v>#VALUE!</v>
      </c>
    </row>
    <row r="152" spans="10:12" x14ac:dyDescent="0.2">
      <c r="J152" t="s">
        <v>285</v>
      </c>
      <c r="K152" t="e">
        <f t="shared" si="6"/>
        <v>#VALUE!</v>
      </c>
      <c r="L152" t="e">
        <f t="shared" si="7"/>
        <v>#VALUE!</v>
      </c>
    </row>
    <row r="153" spans="10:12" x14ac:dyDescent="0.2">
      <c r="J153" t="s">
        <v>285</v>
      </c>
      <c r="K153" t="e">
        <f t="shared" si="6"/>
        <v>#VALUE!</v>
      </c>
      <c r="L153" t="e">
        <f t="shared" si="7"/>
        <v>#VALUE!</v>
      </c>
    </row>
    <row r="154" spans="10:12" x14ac:dyDescent="0.2">
      <c r="J154" t="s">
        <v>285</v>
      </c>
      <c r="K154" t="e">
        <f t="shared" si="6"/>
        <v>#VALUE!</v>
      </c>
      <c r="L154" t="e">
        <f t="shared" si="7"/>
        <v>#VALUE!</v>
      </c>
    </row>
    <row r="155" spans="10:12" x14ac:dyDescent="0.2">
      <c r="J155" t="s">
        <v>285</v>
      </c>
      <c r="K155" t="e">
        <f t="shared" si="6"/>
        <v>#VALUE!</v>
      </c>
      <c r="L155" t="e">
        <f t="shared" si="7"/>
        <v>#VALUE!</v>
      </c>
    </row>
    <row r="156" spans="10:12" x14ac:dyDescent="0.2">
      <c r="J156" t="s">
        <v>285</v>
      </c>
      <c r="K156" t="e">
        <f t="shared" si="6"/>
        <v>#VALUE!</v>
      </c>
      <c r="L156" t="e">
        <f t="shared" si="7"/>
        <v>#VALUE!</v>
      </c>
    </row>
    <row r="157" spans="10:12" x14ac:dyDescent="0.2">
      <c r="J157" t="s">
        <v>285</v>
      </c>
      <c r="K157" t="e">
        <f t="shared" si="6"/>
        <v>#VALUE!</v>
      </c>
      <c r="L157" t="e">
        <f t="shared" si="7"/>
        <v>#VALUE!</v>
      </c>
    </row>
    <row r="158" spans="10:12" x14ac:dyDescent="0.2">
      <c r="J158" t="s">
        <v>285</v>
      </c>
      <c r="K158" t="e">
        <f t="shared" si="6"/>
        <v>#VALUE!</v>
      </c>
      <c r="L158" t="e">
        <f t="shared" si="7"/>
        <v>#VALUE!</v>
      </c>
    </row>
    <row r="159" spans="10:12" x14ac:dyDescent="0.2">
      <c r="J159" t="s">
        <v>285</v>
      </c>
      <c r="K159" t="e">
        <f t="shared" si="6"/>
        <v>#VALUE!</v>
      </c>
      <c r="L159" t="e">
        <f t="shared" si="7"/>
        <v>#VALUE!</v>
      </c>
    </row>
    <row r="160" spans="10:12" x14ac:dyDescent="0.2">
      <c r="J160" t="s">
        <v>285</v>
      </c>
      <c r="K160" t="e">
        <f t="shared" si="6"/>
        <v>#VALUE!</v>
      </c>
      <c r="L160" t="e">
        <f t="shared" si="7"/>
        <v>#VALUE!</v>
      </c>
    </row>
    <row r="161" spans="10:12" x14ac:dyDescent="0.2">
      <c r="J161" t="s">
        <v>285</v>
      </c>
      <c r="K161" t="e">
        <f t="shared" si="6"/>
        <v>#VALUE!</v>
      </c>
      <c r="L161" t="e">
        <f t="shared" si="7"/>
        <v>#VALUE!</v>
      </c>
    </row>
    <row r="162" spans="10:12" x14ac:dyDescent="0.2">
      <c r="J162" t="s">
        <v>285</v>
      </c>
      <c r="K162" t="e">
        <f t="shared" si="6"/>
        <v>#VALUE!</v>
      </c>
      <c r="L162" t="e">
        <f t="shared" si="7"/>
        <v>#VALUE!</v>
      </c>
    </row>
    <row r="163" spans="10:12" x14ac:dyDescent="0.2">
      <c r="J163" t="s">
        <v>285</v>
      </c>
      <c r="K163" t="e">
        <f t="shared" si="6"/>
        <v>#VALUE!</v>
      </c>
      <c r="L163" t="e">
        <f t="shared" si="7"/>
        <v>#VALUE!</v>
      </c>
    </row>
    <row r="164" spans="10:12" x14ac:dyDescent="0.2">
      <c r="J164" t="s">
        <v>285</v>
      </c>
      <c r="K164" t="e">
        <f t="shared" si="6"/>
        <v>#VALUE!</v>
      </c>
      <c r="L164" t="e">
        <f t="shared" si="7"/>
        <v>#VALUE!</v>
      </c>
    </row>
    <row r="165" spans="10:12" x14ac:dyDescent="0.2">
      <c r="J165" t="s">
        <v>285</v>
      </c>
      <c r="K165" t="e">
        <f t="shared" si="6"/>
        <v>#VALUE!</v>
      </c>
      <c r="L165" t="e">
        <f t="shared" si="7"/>
        <v>#VALUE!</v>
      </c>
    </row>
    <row r="166" spans="10:12" x14ac:dyDescent="0.2">
      <c r="J166" t="s">
        <v>285</v>
      </c>
      <c r="K166" t="e">
        <f t="shared" si="6"/>
        <v>#VALUE!</v>
      </c>
      <c r="L166" t="e">
        <f t="shared" si="7"/>
        <v>#VALUE!</v>
      </c>
    </row>
    <row r="167" spans="10:12" x14ac:dyDescent="0.2">
      <c r="J167" t="s">
        <v>285</v>
      </c>
      <c r="K167" t="e">
        <f t="shared" si="6"/>
        <v>#VALUE!</v>
      </c>
      <c r="L167" t="e">
        <f t="shared" si="7"/>
        <v>#VALUE!</v>
      </c>
    </row>
    <row r="168" spans="10:12" x14ac:dyDescent="0.2">
      <c r="J168" t="s">
        <v>285</v>
      </c>
      <c r="K168" t="e">
        <f t="shared" si="6"/>
        <v>#VALUE!</v>
      </c>
      <c r="L168" t="e">
        <f t="shared" si="7"/>
        <v>#VALUE!</v>
      </c>
    </row>
    <row r="169" spans="10:12" x14ac:dyDescent="0.2">
      <c r="J169" t="s">
        <v>285</v>
      </c>
      <c r="K169" t="e">
        <f t="shared" si="6"/>
        <v>#VALUE!</v>
      </c>
      <c r="L169" t="e">
        <f t="shared" si="7"/>
        <v>#VALUE!</v>
      </c>
    </row>
    <row r="170" spans="10:12" x14ac:dyDescent="0.2">
      <c r="J170" t="s">
        <v>285</v>
      </c>
      <c r="K170" t="e">
        <f t="shared" si="6"/>
        <v>#VALUE!</v>
      </c>
      <c r="L170" t="e">
        <f t="shared" si="7"/>
        <v>#VALUE!</v>
      </c>
    </row>
    <row r="171" spans="10:12" x14ac:dyDescent="0.2">
      <c r="J171" t="s">
        <v>285</v>
      </c>
      <c r="K171" t="e">
        <f t="shared" si="6"/>
        <v>#VALUE!</v>
      </c>
      <c r="L171" t="e">
        <f t="shared" si="7"/>
        <v>#VALUE!</v>
      </c>
    </row>
    <row r="172" spans="10:12" x14ac:dyDescent="0.2">
      <c r="J172" t="s">
        <v>285</v>
      </c>
      <c r="K172" t="e">
        <f t="shared" si="6"/>
        <v>#VALUE!</v>
      </c>
      <c r="L172" t="e">
        <f t="shared" si="7"/>
        <v>#VALUE!</v>
      </c>
    </row>
    <row r="173" spans="10:12" x14ac:dyDescent="0.2">
      <c r="J173" t="s">
        <v>285</v>
      </c>
      <c r="K173" t="e">
        <f t="shared" si="6"/>
        <v>#VALUE!</v>
      </c>
      <c r="L173" t="e">
        <f t="shared" si="7"/>
        <v>#VALUE!</v>
      </c>
    </row>
    <row r="174" spans="10:12" x14ac:dyDescent="0.2">
      <c r="J174" t="s">
        <v>285</v>
      </c>
      <c r="K174" t="e">
        <f t="shared" si="6"/>
        <v>#VALUE!</v>
      </c>
      <c r="L174" t="e">
        <f t="shared" si="7"/>
        <v>#VALUE!</v>
      </c>
    </row>
    <row r="175" spans="10:12" x14ac:dyDescent="0.2">
      <c r="J175" t="s">
        <v>285</v>
      </c>
      <c r="K175" t="e">
        <f t="shared" si="6"/>
        <v>#VALUE!</v>
      </c>
      <c r="L175" t="e">
        <f t="shared" si="7"/>
        <v>#VALUE!</v>
      </c>
    </row>
    <row r="176" spans="10:12" x14ac:dyDescent="0.2">
      <c r="J176" t="s">
        <v>285</v>
      </c>
      <c r="K176" t="e">
        <f t="shared" si="6"/>
        <v>#VALUE!</v>
      </c>
      <c r="L176" t="e">
        <f t="shared" si="7"/>
        <v>#VALUE!</v>
      </c>
    </row>
    <row r="177" spans="10:12" x14ac:dyDescent="0.2">
      <c r="J177" t="s">
        <v>285</v>
      </c>
      <c r="K177" t="e">
        <f t="shared" si="6"/>
        <v>#VALUE!</v>
      </c>
      <c r="L177" t="e">
        <f t="shared" si="7"/>
        <v>#VALUE!</v>
      </c>
    </row>
    <row r="178" spans="10:12" x14ac:dyDescent="0.2">
      <c r="J178" t="s">
        <v>285</v>
      </c>
      <c r="K178" t="e">
        <f t="shared" si="6"/>
        <v>#VALUE!</v>
      </c>
      <c r="L178" t="e">
        <f t="shared" si="7"/>
        <v>#VALUE!</v>
      </c>
    </row>
    <row r="179" spans="10:12" x14ac:dyDescent="0.2">
      <c r="J179" t="s">
        <v>285</v>
      </c>
      <c r="K179" t="e">
        <f t="shared" si="6"/>
        <v>#VALUE!</v>
      </c>
      <c r="L179" t="e">
        <f t="shared" si="7"/>
        <v>#VALUE!</v>
      </c>
    </row>
    <row r="180" spans="10:12" x14ac:dyDescent="0.2">
      <c r="J180" t="s">
        <v>285</v>
      </c>
      <c r="K180" t="e">
        <f t="shared" si="6"/>
        <v>#VALUE!</v>
      </c>
      <c r="L180" t="e">
        <f t="shared" si="7"/>
        <v>#VALUE!</v>
      </c>
    </row>
    <row r="181" spans="10:12" x14ac:dyDescent="0.2">
      <c r="J181" t="s">
        <v>285</v>
      </c>
      <c r="K181" t="e">
        <f t="shared" si="6"/>
        <v>#VALUE!</v>
      </c>
      <c r="L181" t="e">
        <f t="shared" si="7"/>
        <v>#VALUE!</v>
      </c>
    </row>
    <row r="182" spans="10:12" x14ac:dyDescent="0.2">
      <c r="J182" t="s">
        <v>285</v>
      </c>
      <c r="K182" t="e">
        <f t="shared" si="6"/>
        <v>#VALUE!</v>
      </c>
      <c r="L182" t="e">
        <f t="shared" si="7"/>
        <v>#VALUE!</v>
      </c>
    </row>
    <row r="183" spans="10:12" x14ac:dyDescent="0.2">
      <c r="J183" t="s">
        <v>285</v>
      </c>
      <c r="K183" t="e">
        <f t="shared" si="6"/>
        <v>#VALUE!</v>
      </c>
      <c r="L183" t="e">
        <f t="shared" si="7"/>
        <v>#VALUE!</v>
      </c>
    </row>
    <row r="184" spans="10:12" x14ac:dyDescent="0.2">
      <c r="J184" t="s">
        <v>285</v>
      </c>
      <c r="K184" t="e">
        <f t="shared" si="6"/>
        <v>#VALUE!</v>
      </c>
      <c r="L184" t="e">
        <f t="shared" si="7"/>
        <v>#VALUE!</v>
      </c>
    </row>
    <row r="185" spans="10:12" x14ac:dyDescent="0.2">
      <c r="J185" t="s">
        <v>285</v>
      </c>
      <c r="K185" t="e">
        <f t="shared" si="6"/>
        <v>#VALUE!</v>
      </c>
      <c r="L185" t="e">
        <f t="shared" si="7"/>
        <v>#VALUE!</v>
      </c>
    </row>
    <row r="186" spans="10:12" x14ac:dyDescent="0.2">
      <c r="J186" t="s">
        <v>285</v>
      </c>
      <c r="K186" t="e">
        <f t="shared" si="6"/>
        <v>#VALUE!</v>
      </c>
      <c r="L186" t="e">
        <f t="shared" si="7"/>
        <v>#VALUE!</v>
      </c>
    </row>
    <row r="187" spans="10:12" x14ac:dyDescent="0.2">
      <c r="J187" t="s">
        <v>285</v>
      </c>
      <c r="K187" t="e">
        <f t="shared" si="6"/>
        <v>#VALUE!</v>
      </c>
      <c r="L187" t="e">
        <f t="shared" si="7"/>
        <v>#VALUE!</v>
      </c>
    </row>
    <row r="188" spans="10:12" x14ac:dyDescent="0.2">
      <c r="J188" t="s">
        <v>285</v>
      </c>
      <c r="K188" t="e">
        <f t="shared" si="6"/>
        <v>#VALUE!</v>
      </c>
      <c r="L188" t="e">
        <f t="shared" si="7"/>
        <v>#VALUE!</v>
      </c>
    </row>
    <row r="189" spans="10:12" x14ac:dyDescent="0.2">
      <c r="J189" t="s">
        <v>285</v>
      </c>
      <c r="K189" t="e">
        <f t="shared" si="6"/>
        <v>#VALUE!</v>
      </c>
      <c r="L189" t="e">
        <f t="shared" si="7"/>
        <v>#VALUE!</v>
      </c>
    </row>
    <row r="190" spans="10:12" x14ac:dyDescent="0.2">
      <c r="J190" t="s">
        <v>285</v>
      </c>
      <c r="K190" t="e">
        <f t="shared" si="6"/>
        <v>#VALUE!</v>
      </c>
      <c r="L190" t="e">
        <f t="shared" si="7"/>
        <v>#VALUE!</v>
      </c>
    </row>
    <row r="191" spans="10:12" x14ac:dyDescent="0.2">
      <c r="J191" t="s">
        <v>285</v>
      </c>
      <c r="K191" t="e">
        <f t="shared" si="6"/>
        <v>#VALUE!</v>
      </c>
      <c r="L191" t="e">
        <f t="shared" si="7"/>
        <v>#VALUE!</v>
      </c>
    </row>
    <row r="192" spans="10:12" x14ac:dyDescent="0.2">
      <c r="J192" t="s">
        <v>285</v>
      </c>
      <c r="K192" t="e">
        <f t="shared" si="6"/>
        <v>#VALUE!</v>
      </c>
      <c r="L192" t="e">
        <f t="shared" si="7"/>
        <v>#VALUE!</v>
      </c>
    </row>
    <row r="193" spans="10:12" x14ac:dyDescent="0.2">
      <c r="J193" t="s">
        <v>285</v>
      </c>
      <c r="K193" t="e">
        <f t="shared" si="6"/>
        <v>#VALUE!</v>
      </c>
      <c r="L193" t="e">
        <f t="shared" si="7"/>
        <v>#VALUE!</v>
      </c>
    </row>
    <row r="194" spans="10:12" x14ac:dyDescent="0.2">
      <c r="J194" t="s">
        <v>285</v>
      </c>
      <c r="K194" t="e">
        <f t="shared" si="6"/>
        <v>#VALUE!</v>
      </c>
      <c r="L194" t="e">
        <f t="shared" si="7"/>
        <v>#VALUE!</v>
      </c>
    </row>
    <row r="195" spans="10:12" x14ac:dyDescent="0.2">
      <c r="J195" t="s">
        <v>285</v>
      </c>
      <c r="K195" t="e">
        <f t="shared" si="6"/>
        <v>#VALUE!</v>
      </c>
      <c r="L195" t="e">
        <f t="shared" si="7"/>
        <v>#VALUE!</v>
      </c>
    </row>
    <row r="196" spans="10:12" x14ac:dyDescent="0.2">
      <c r="J196" t="s">
        <v>285</v>
      </c>
      <c r="K196" t="e">
        <f t="shared" si="6"/>
        <v>#VALUE!</v>
      </c>
      <c r="L196" t="e">
        <f t="shared" si="7"/>
        <v>#VALUE!</v>
      </c>
    </row>
    <row r="197" spans="10:12" x14ac:dyDescent="0.2">
      <c r="J197" t="s">
        <v>285</v>
      </c>
      <c r="K197" t="e">
        <f t="shared" si="6"/>
        <v>#VALUE!</v>
      </c>
      <c r="L197" t="e">
        <f t="shared" si="7"/>
        <v>#VALUE!</v>
      </c>
    </row>
    <row r="198" spans="10:12" x14ac:dyDescent="0.2">
      <c r="J198" t="s">
        <v>285</v>
      </c>
      <c r="K198" t="e">
        <f t="shared" ref="K198:K249" si="8">J198*D$9/D$4</f>
        <v>#VALUE!</v>
      </c>
      <c r="L198" t="e">
        <f t="shared" ref="L198:L249" si="9">J198*D$9/D$3</f>
        <v>#VALUE!</v>
      </c>
    </row>
    <row r="199" spans="10:12" x14ac:dyDescent="0.2">
      <c r="J199" t="s">
        <v>285</v>
      </c>
      <c r="K199" t="e">
        <f t="shared" si="8"/>
        <v>#VALUE!</v>
      </c>
      <c r="L199" t="e">
        <f t="shared" si="9"/>
        <v>#VALUE!</v>
      </c>
    </row>
    <row r="200" spans="10:12" x14ac:dyDescent="0.2">
      <c r="J200" t="s">
        <v>285</v>
      </c>
      <c r="K200" t="e">
        <f t="shared" si="8"/>
        <v>#VALUE!</v>
      </c>
      <c r="L200" t="e">
        <f t="shared" si="9"/>
        <v>#VALUE!</v>
      </c>
    </row>
    <row r="201" spans="10:12" x14ac:dyDescent="0.2">
      <c r="J201" t="s">
        <v>285</v>
      </c>
      <c r="K201" t="e">
        <f t="shared" si="8"/>
        <v>#VALUE!</v>
      </c>
      <c r="L201" t="e">
        <f t="shared" si="9"/>
        <v>#VALUE!</v>
      </c>
    </row>
    <row r="202" spans="10:12" x14ac:dyDescent="0.2">
      <c r="J202" t="s">
        <v>285</v>
      </c>
      <c r="K202" t="e">
        <f t="shared" si="8"/>
        <v>#VALUE!</v>
      </c>
      <c r="L202" t="e">
        <f t="shared" si="9"/>
        <v>#VALUE!</v>
      </c>
    </row>
    <row r="203" spans="10:12" x14ac:dyDescent="0.2">
      <c r="J203" t="s">
        <v>285</v>
      </c>
      <c r="K203" t="e">
        <f t="shared" si="8"/>
        <v>#VALUE!</v>
      </c>
      <c r="L203" t="e">
        <f t="shared" si="9"/>
        <v>#VALUE!</v>
      </c>
    </row>
    <row r="204" spans="10:12" x14ac:dyDescent="0.2">
      <c r="J204" t="s">
        <v>285</v>
      </c>
      <c r="K204" t="e">
        <f t="shared" si="8"/>
        <v>#VALUE!</v>
      </c>
      <c r="L204" t="e">
        <f t="shared" si="9"/>
        <v>#VALUE!</v>
      </c>
    </row>
    <row r="205" spans="10:12" x14ac:dyDescent="0.2">
      <c r="J205" t="s">
        <v>285</v>
      </c>
      <c r="K205" t="e">
        <f t="shared" si="8"/>
        <v>#VALUE!</v>
      </c>
      <c r="L205" t="e">
        <f t="shared" si="9"/>
        <v>#VALUE!</v>
      </c>
    </row>
    <row r="206" spans="10:12" x14ac:dyDescent="0.2">
      <c r="J206" t="s">
        <v>285</v>
      </c>
      <c r="K206" t="e">
        <f t="shared" si="8"/>
        <v>#VALUE!</v>
      </c>
      <c r="L206" t="e">
        <f t="shared" si="9"/>
        <v>#VALUE!</v>
      </c>
    </row>
    <row r="207" spans="10:12" x14ac:dyDescent="0.2">
      <c r="J207" t="s">
        <v>285</v>
      </c>
      <c r="K207" t="e">
        <f t="shared" si="8"/>
        <v>#VALUE!</v>
      </c>
      <c r="L207" t="e">
        <f t="shared" si="9"/>
        <v>#VALUE!</v>
      </c>
    </row>
    <row r="208" spans="10:12" x14ac:dyDescent="0.2">
      <c r="J208" t="s">
        <v>285</v>
      </c>
      <c r="K208" t="e">
        <f t="shared" si="8"/>
        <v>#VALUE!</v>
      </c>
      <c r="L208" t="e">
        <f t="shared" si="9"/>
        <v>#VALUE!</v>
      </c>
    </row>
    <row r="209" spans="10:12" x14ac:dyDescent="0.2">
      <c r="J209" t="s">
        <v>285</v>
      </c>
      <c r="K209" t="e">
        <f t="shared" si="8"/>
        <v>#VALUE!</v>
      </c>
      <c r="L209" t="e">
        <f t="shared" si="9"/>
        <v>#VALUE!</v>
      </c>
    </row>
    <row r="210" spans="10:12" x14ac:dyDescent="0.2">
      <c r="J210" t="s">
        <v>285</v>
      </c>
      <c r="K210" t="e">
        <f t="shared" si="8"/>
        <v>#VALUE!</v>
      </c>
      <c r="L210" t="e">
        <f t="shared" si="9"/>
        <v>#VALUE!</v>
      </c>
    </row>
    <row r="211" spans="10:12" x14ac:dyDescent="0.2">
      <c r="J211" t="s">
        <v>285</v>
      </c>
      <c r="K211" t="e">
        <f t="shared" si="8"/>
        <v>#VALUE!</v>
      </c>
      <c r="L211" t="e">
        <f t="shared" si="9"/>
        <v>#VALUE!</v>
      </c>
    </row>
    <row r="212" spans="10:12" x14ac:dyDescent="0.2">
      <c r="J212" t="s">
        <v>285</v>
      </c>
      <c r="K212" t="e">
        <f t="shared" si="8"/>
        <v>#VALUE!</v>
      </c>
      <c r="L212" t="e">
        <f t="shared" si="9"/>
        <v>#VALUE!</v>
      </c>
    </row>
    <row r="213" spans="10:12" x14ac:dyDescent="0.2">
      <c r="J213" t="s">
        <v>285</v>
      </c>
      <c r="K213" t="e">
        <f t="shared" si="8"/>
        <v>#VALUE!</v>
      </c>
      <c r="L213" t="e">
        <f t="shared" si="9"/>
        <v>#VALUE!</v>
      </c>
    </row>
    <row r="214" spans="10:12" x14ac:dyDescent="0.2">
      <c r="J214" t="s">
        <v>285</v>
      </c>
      <c r="K214" t="e">
        <f t="shared" si="8"/>
        <v>#VALUE!</v>
      </c>
      <c r="L214" t="e">
        <f t="shared" si="9"/>
        <v>#VALUE!</v>
      </c>
    </row>
    <row r="215" spans="10:12" x14ac:dyDescent="0.2">
      <c r="J215" t="s">
        <v>285</v>
      </c>
      <c r="K215" t="e">
        <f t="shared" si="8"/>
        <v>#VALUE!</v>
      </c>
      <c r="L215" t="e">
        <f t="shared" si="9"/>
        <v>#VALUE!</v>
      </c>
    </row>
    <row r="216" spans="10:12" x14ac:dyDescent="0.2">
      <c r="J216" t="s">
        <v>285</v>
      </c>
      <c r="K216" t="e">
        <f t="shared" si="8"/>
        <v>#VALUE!</v>
      </c>
      <c r="L216" t="e">
        <f t="shared" si="9"/>
        <v>#VALUE!</v>
      </c>
    </row>
    <row r="217" spans="10:12" x14ac:dyDescent="0.2">
      <c r="J217" t="s">
        <v>285</v>
      </c>
      <c r="K217" t="e">
        <f t="shared" si="8"/>
        <v>#VALUE!</v>
      </c>
      <c r="L217" t="e">
        <f t="shared" si="9"/>
        <v>#VALUE!</v>
      </c>
    </row>
    <row r="218" spans="10:12" x14ac:dyDescent="0.2">
      <c r="J218" t="s">
        <v>285</v>
      </c>
      <c r="K218" t="e">
        <f t="shared" si="8"/>
        <v>#VALUE!</v>
      </c>
      <c r="L218" t="e">
        <f t="shared" si="9"/>
        <v>#VALUE!</v>
      </c>
    </row>
    <row r="219" spans="10:12" x14ac:dyDescent="0.2">
      <c r="J219" t="s">
        <v>285</v>
      </c>
      <c r="K219" t="e">
        <f t="shared" si="8"/>
        <v>#VALUE!</v>
      </c>
      <c r="L219" t="e">
        <f t="shared" si="9"/>
        <v>#VALUE!</v>
      </c>
    </row>
    <row r="220" spans="10:12" x14ac:dyDescent="0.2">
      <c r="J220" t="s">
        <v>285</v>
      </c>
      <c r="K220" t="e">
        <f t="shared" si="8"/>
        <v>#VALUE!</v>
      </c>
      <c r="L220" t="e">
        <f t="shared" si="9"/>
        <v>#VALUE!</v>
      </c>
    </row>
    <row r="221" spans="10:12" x14ac:dyDescent="0.2">
      <c r="J221" t="s">
        <v>285</v>
      </c>
      <c r="K221" t="e">
        <f t="shared" si="8"/>
        <v>#VALUE!</v>
      </c>
      <c r="L221" t="e">
        <f t="shared" si="9"/>
        <v>#VALUE!</v>
      </c>
    </row>
    <row r="222" spans="10:12" x14ac:dyDescent="0.2">
      <c r="J222" t="s">
        <v>285</v>
      </c>
      <c r="K222" t="e">
        <f t="shared" si="8"/>
        <v>#VALUE!</v>
      </c>
      <c r="L222" t="e">
        <f t="shared" si="9"/>
        <v>#VALUE!</v>
      </c>
    </row>
    <row r="223" spans="10:12" x14ac:dyDescent="0.2">
      <c r="J223" t="s">
        <v>285</v>
      </c>
      <c r="K223" t="e">
        <f t="shared" si="8"/>
        <v>#VALUE!</v>
      </c>
      <c r="L223" t="e">
        <f t="shared" si="9"/>
        <v>#VALUE!</v>
      </c>
    </row>
    <row r="224" spans="10:12" x14ac:dyDescent="0.2">
      <c r="J224" t="s">
        <v>285</v>
      </c>
      <c r="K224" t="e">
        <f t="shared" si="8"/>
        <v>#VALUE!</v>
      </c>
      <c r="L224" t="e">
        <f t="shared" si="9"/>
        <v>#VALUE!</v>
      </c>
    </row>
    <row r="225" spans="10:12" x14ac:dyDescent="0.2">
      <c r="J225" t="s">
        <v>285</v>
      </c>
      <c r="K225" t="e">
        <f t="shared" si="8"/>
        <v>#VALUE!</v>
      </c>
      <c r="L225" t="e">
        <f t="shared" si="9"/>
        <v>#VALUE!</v>
      </c>
    </row>
    <row r="226" spans="10:12" x14ac:dyDescent="0.2">
      <c r="J226" t="s">
        <v>285</v>
      </c>
      <c r="K226" t="e">
        <f t="shared" si="8"/>
        <v>#VALUE!</v>
      </c>
      <c r="L226" t="e">
        <f t="shared" si="9"/>
        <v>#VALUE!</v>
      </c>
    </row>
    <row r="227" spans="10:12" x14ac:dyDescent="0.2">
      <c r="J227" t="s">
        <v>285</v>
      </c>
      <c r="K227" t="e">
        <f t="shared" si="8"/>
        <v>#VALUE!</v>
      </c>
      <c r="L227" t="e">
        <f t="shared" si="9"/>
        <v>#VALUE!</v>
      </c>
    </row>
    <row r="228" spans="10:12" x14ac:dyDescent="0.2">
      <c r="J228" t="s">
        <v>285</v>
      </c>
      <c r="K228" t="e">
        <f t="shared" si="8"/>
        <v>#VALUE!</v>
      </c>
      <c r="L228" t="e">
        <f t="shared" si="9"/>
        <v>#VALUE!</v>
      </c>
    </row>
    <row r="229" spans="10:12" x14ac:dyDescent="0.2">
      <c r="J229" t="s">
        <v>285</v>
      </c>
      <c r="K229" t="e">
        <f t="shared" si="8"/>
        <v>#VALUE!</v>
      </c>
      <c r="L229" t="e">
        <f t="shared" si="9"/>
        <v>#VALUE!</v>
      </c>
    </row>
    <row r="230" spans="10:12" x14ac:dyDescent="0.2">
      <c r="J230" t="s">
        <v>285</v>
      </c>
      <c r="K230" t="e">
        <f t="shared" si="8"/>
        <v>#VALUE!</v>
      </c>
      <c r="L230" t="e">
        <f t="shared" si="9"/>
        <v>#VALUE!</v>
      </c>
    </row>
    <row r="231" spans="10:12" x14ac:dyDescent="0.2">
      <c r="J231" t="s">
        <v>285</v>
      </c>
      <c r="K231" t="e">
        <f t="shared" si="8"/>
        <v>#VALUE!</v>
      </c>
      <c r="L231" t="e">
        <f t="shared" si="9"/>
        <v>#VALUE!</v>
      </c>
    </row>
    <row r="232" spans="10:12" x14ac:dyDescent="0.2">
      <c r="J232" t="s">
        <v>285</v>
      </c>
      <c r="K232" t="e">
        <f t="shared" si="8"/>
        <v>#VALUE!</v>
      </c>
      <c r="L232" t="e">
        <f t="shared" si="9"/>
        <v>#VALUE!</v>
      </c>
    </row>
    <row r="233" spans="10:12" x14ac:dyDescent="0.2">
      <c r="J233" t="s">
        <v>285</v>
      </c>
      <c r="K233" t="e">
        <f t="shared" si="8"/>
        <v>#VALUE!</v>
      </c>
      <c r="L233" t="e">
        <f t="shared" si="9"/>
        <v>#VALUE!</v>
      </c>
    </row>
    <row r="234" spans="10:12" x14ac:dyDescent="0.2">
      <c r="J234" t="s">
        <v>285</v>
      </c>
      <c r="K234" t="e">
        <f t="shared" si="8"/>
        <v>#VALUE!</v>
      </c>
      <c r="L234" t="e">
        <f t="shared" si="9"/>
        <v>#VALUE!</v>
      </c>
    </row>
    <row r="235" spans="10:12" x14ac:dyDescent="0.2">
      <c r="J235" t="s">
        <v>285</v>
      </c>
      <c r="K235" t="e">
        <f t="shared" si="8"/>
        <v>#VALUE!</v>
      </c>
      <c r="L235" t="e">
        <f t="shared" si="9"/>
        <v>#VALUE!</v>
      </c>
    </row>
    <row r="236" spans="10:12" x14ac:dyDescent="0.2">
      <c r="J236" t="s">
        <v>285</v>
      </c>
      <c r="K236" t="e">
        <f t="shared" si="8"/>
        <v>#VALUE!</v>
      </c>
      <c r="L236" t="e">
        <f t="shared" si="9"/>
        <v>#VALUE!</v>
      </c>
    </row>
    <row r="237" spans="10:12" x14ac:dyDescent="0.2">
      <c r="J237" t="s">
        <v>285</v>
      </c>
      <c r="K237" t="e">
        <f t="shared" si="8"/>
        <v>#VALUE!</v>
      </c>
      <c r="L237" t="e">
        <f t="shared" si="9"/>
        <v>#VALUE!</v>
      </c>
    </row>
    <row r="238" spans="10:12" x14ac:dyDescent="0.2">
      <c r="J238" t="s">
        <v>285</v>
      </c>
      <c r="K238" t="e">
        <f t="shared" si="8"/>
        <v>#VALUE!</v>
      </c>
      <c r="L238" t="e">
        <f t="shared" si="9"/>
        <v>#VALUE!</v>
      </c>
    </row>
    <row r="239" spans="10:12" x14ac:dyDescent="0.2">
      <c r="J239" t="s">
        <v>285</v>
      </c>
      <c r="K239" t="e">
        <f t="shared" si="8"/>
        <v>#VALUE!</v>
      </c>
      <c r="L239" t="e">
        <f t="shared" si="9"/>
        <v>#VALUE!</v>
      </c>
    </row>
    <row r="240" spans="10:12" x14ac:dyDescent="0.2">
      <c r="J240" t="s">
        <v>285</v>
      </c>
      <c r="K240" t="e">
        <f t="shared" si="8"/>
        <v>#VALUE!</v>
      </c>
      <c r="L240" t="e">
        <f t="shared" si="9"/>
        <v>#VALUE!</v>
      </c>
    </row>
    <row r="241" spans="10:12" x14ac:dyDescent="0.2">
      <c r="J241" t="s">
        <v>285</v>
      </c>
      <c r="K241" t="e">
        <f t="shared" si="8"/>
        <v>#VALUE!</v>
      </c>
      <c r="L241" t="e">
        <f t="shared" si="9"/>
        <v>#VALUE!</v>
      </c>
    </row>
    <row r="242" spans="10:12" x14ac:dyDescent="0.2">
      <c r="J242" t="s">
        <v>285</v>
      </c>
      <c r="K242" t="e">
        <f t="shared" si="8"/>
        <v>#VALUE!</v>
      </c>
      <c r="L242" t="e">
        <f t="shared" si="9"/>
        <v>#VALUE!</v>
      </c>
    </row>
    <row r="243" spans="10:12" x14ac:dyDescent="0.2">
      <c r="J243" t="s">
        <v>285</v>
      </c>
      <c r="K243" t="e">
        <f t="shared" si="8"/>
        <v>#VALUE!</v>
      </c>
      <c r="L243" t="e">
        <f t="shared" si="9"/>
        <v>#VALUE!</v>
      </c>
    </row>
    <row r="244" spans="10:12" x14ac:dyDescent="0.2">
      <c r="J244" t="s">
        <v>285</v>
      </c>
      <c r="K244" t="e">
        <f t="shared" si="8"/>
        <v>#VALUE!</v>
      </c>
      <c r="L244" t="e">
        <f t="shared" si="9"/>
        <v>#VALUE!</v>
      </c>
    </row>
    <row r="245" spans="10:12" x14ac:dyDescent="0.2">
      <c r="J245" t="s">
        <v>285</v>
      </c>
      <c r="K245" t="e">
        <f t="shared" si="8"/>
        <v>#VALUE!</v>
      </c>
      <c r="L245" t="e">
        <f t="shared" si="9"/>
        <v>#VALUE!</v>
      </c>
    </row>
    <row r="246" spans="10:12" x14ac:dyDescent="0.2">
      <c r="J246" t="s">
        <v>285</v>
      </c>
      <c r="K246" t="e">
        <f t="shared" si="8"/>
        <v>#VALUE!</v>
      </c>
      <c r="L246" t="e">
        <f t="shared" si="9"/>
        <v>#VALUE!</v>
      </c>
    </row>
    <row r="247" spans="10:12" x14ac:dyDescent="0.2">
      <c r="J247" t="s">
        <v>285</v>
      </c>
      <c r="K247" t="e">
        <f t="shared" si="8"/>
        <v>#VALUE!</v>
      </c>
      <c r="L247" t="e">
        <f t="shared" si="9"/>
        <v>#VALUE!</v>
      </c>
    </row>
    <row r="248" spans="10:12" x14ac:dyDescent="0.2">
      <c r="J248" t="s">
        <v>285</v>
      </c>
      <c r="K248" t="e">
        <f t="shared" si="8"/>
        <v>#VALUE!</v>
      </c>
      <c r="L248" t="e">
        <f t="shared" si="9"/>
        <v>#VALUE!</v>
      </c>
    </row>
    <row r="249" spans="10:12" x14ac:dyDescent="0.2">
      <c r="J249" t="s">
        <v>285</v>
      </c>
      <c r="K249" t="e">
        <f t="shared" si="8"/>
        <v>#VALUE!</v>
      </c>
      <c r="L249" t="e">
        <f t="shared" si="9"/>
        <v>#VALUE!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80B4-949D-524F-8C8D-9561CAA42346}">
  <dimension ref="C2:L249"/>
  <sheetViews>
    <sheetView workbookViewId="0">
      <selection activeCell="D3" sqref="D3"/>
    </sheetView>
  </sheetViews>
  <sheetFormatPr baseColWidth="10" defaultRowHeight="16" x14ac:dyDescent="0.2"/>
  <sheetData>
    <row r="2" spans="3:12" x14ac:dyDescent="0.2">
      <c r="D2" t="s">
        <v>4</v>
      </c>
    </row>
    <row r="3" spans="3:12" x14ac:dyDescent="0.2">
      <c r="C3" t="s">
        <v>296</v>
      </c>
      <c r="D3">
        <v>20</v>
      </c>
      <c r="J3" t="s">
        <v>311</v>
      </c>
      <c r="K3" t="s">
        <v>310</v>
      </c>
      <c r="L3" t="s">
        <v>304</v>
      </c>
    </row>
    <row r="4" spans="3:12" x14ac:dyDescent="0.2">
      <c r="C4" t="s">
        <v>297</v>
      </c>
      <c r="D4">
        <v>600</v>
      </c>
    </row>
    <row r="5" spans="3:12" x14ac:dyDescent="0.2">
      <c r="J5">
        <v>0.2</v>
      </c>
      <c r="K5">
        <f>J5*D$9/D$4</f>
        <v>0.33333333333333331</v>
      </c>
      <c r="L5">
        <f>J5*D$9/D$3</f>
        <v>10</v>
      </c>
    </row>
    <row r="6" spans="3:12" x14ac:dyDescent="0.2">
      <c r="C6" t="s">
        <v>305</v>
      </c>
      <c r="D6">
        <v>0.02</v>
      </c>
      <c r="J6">
        <f>J5+1</f>
        <v>1.2</v>
      </c>
      <c r="K6">
        <f t="shared" ref="K6:K69" si="0">J6*D$9/D$4</f>
        <v>2</v>
      </c>
      <c r="L6">
        <f t="shared" ref="L6:L69" si="1">J6*D$9/D$3</f>
        <v>60</v>
      </c>
    </row>
    <row r="7" spans="3:12" x14ac:dyDescent="0.2">
      <c r="C7" t="s">
        <v>306</v>
      </c>
      <c r="D7">
        <v>150</v>
      </c>
      <c r="J7">
        <f t="shared" ref="J7:J70" si="2">J6+1</f>
        <v>2.2000000000000002</v>
      </c>
      <c r="K7">
        <f t="shared" si="0"/>
        <v>3.6666666666666665</v>
      </c>
      <c r="L7">
        <f t="shared" si="1"/>
        <v>110</v>
      </c>
    </row>
    <row r="8" spans="3:12" x14ac:dyDescent="0.2">
      <c r="J8">
        <f t="shared" si="2"/>
        <v>3.2</v>
      </c>
      <c r="K8">
        <f t="shared" si="0"/>
        <v>5.333333333333333</v>
      </c>
      <c r="L8">
        <f t="shared" si="1"/>
        <v>160</v>
      </c>
    </row>
    <row r="9" spans="3:12" x14ac:dyDescent="0.2">
      <c r="C9" t="s">
        <v>307</v>
      </c>
      <c r="D9">
        <v>1000</v>
      </c>
      <c r="J9">
        <f t="shared" si="2"/>
        <v>4.2</v>
      </c>
      <c r="K9">
        <f t="shared" si="0"/>
        <v>7</v>
      </c>
      <c r="L9">
        <f t="shared" si="1"/>
        <v>210</v>
      </c>
    </row>
    <row r="10" spans="3:12" x14ac:dyDescent="0.2">
      <c r="J10">
        <f t="shared" si="2"/>
        <v>5.2</v>
      </c>
      <c r="K10">
        <f t="shared" si="0"/>
        <v>8.6666666666666661</v>
      </c>
      <c r="L10">
        <f t="shared" si="1"/>
        <v>260</v>
      </c>
    </row>
    <row r="11" spans="3:12" x14ac:dyDescent="0.2">
      <c r="C11" t="s">
        <v>308</v>
      </c>
      <c r="D11">
        <v>10</v>
      </c>
      <c r="J11" s="2">
        <f t="shared" si="2"/>
        <v>6.2</v>
      </c>
      <c r="K11" s="2">
        <f t="shared" si="0"/>
        <v>10.333333333333334</v>
      </c>
      <c r="L11" s="2">
        <f t="shared" si="1"/>
        <v>310</v>
      </c>
    </row>
    <row r="12" spans="3:12" x14ac:dyDescent="0.2">
      <c r="J12">
        <f t="shared" si="2"/>
        <v>7.2</v>
      </c>
      <c r="K12">
        <f t="shared" si="0"/>
        <v>12</v>
      </c>
      <c r="L12">
        <f t="shared" si="1"/>
        <v>360</v>
      </c>
    </row>
    <row r="13" spans="3:12" x14ac:dyDescent="0.2">
      <c r="J13">
        <f t="shared" si="2"/>
        <v>8.1999999999999993</v>
      </c>
      <c r="K13">
        <f t="shared" si="0"/>
        <v>13.666666666666666</v>
      </c>
      <c r="L13">
        <f t="shared" si="1"/>
        <v>410</v>
      </c>
    </row>
    <row r="14" spans="3:12" x14ac:dyDescent="0.2">
      <c r="J14">
        <f t="shared" si="2"/>
        <v>9.1999999999999993</v>
      </c>
      <c r="K14">
        <f t="shared" si="0"/>
        <v>15.333333333333334</v>
      </c>
      <c r="L14">
        <f t="shared" si="1"/>
        <v>460</v>
      </c>
    </row>
    <row r="15" spans="3:12" x14ac:dyDescent="0.2">
      <c r="J15">
        <f t="shared" si="2"/>
        <v>10.199999999999999</v>
      </c>
      <c r="K15">
        <f t="shared" si="0"/>
        <v>17</v>
      </c>
      <c r="L15">
        <f t="shared" si="1"/>
        <v>510</v>
      </c>
    </row>
    <row r="16" spans="3:12" x14ac:dyDescent="0.2">
      <c r="J16">
        <f t="shared" si="2"/>
        <v>11.2</v>
      </c>
      <c r="K16">
        <f t="shared" si="0"/>
        <v>18.666666666666668</v>
      </c>
      <c r="L16">
        <f t="shared" si="1"/>
        <v>560</v>
      </c>
    </row>
    <row r="17" spans="10:12" x14ac:dyDescent="0.2">
      <c r="J17">
        <f t="shared" si="2"/>
        <v>12.2</v>
      </c>
      <c r="K17">
        <f t="shared" si="0"/>
        <v>20.333333333333332</v>
      </c>
      <c r="L17">
        <f t="shared" si="1"/>
        <v>610</v>
      </c>
    </row>
    <row r="18" spans="10:12" x14ac:dyDescent="0.2">
      <c r="J18">
        <f t="shared" si="2"/>
        <v>13.2</v>
      </c>
      <c r="K18">
        <f t="shared" si="0"/>
        <v>22</v>
      </c>
      <c r="L18">
        <f t="shared" si="1"/>
        <v>660</v>
      </c>
    </row>
    <row r="19" spans="10:12" x14ac:dyDescent="0.2">
      <c r="J19">
        <f t="shared" si="2"/>
        <v>14.2</v>
      </c>
      <c r="K19">
        <f t="shared" si="0"/>
        <v>23.666666666666668</v>
      </c>
      <c r="L19">
        <f t="shared" si="1"/>
        <v>710</v>
      </c>
    </row>
    <row r="20" spans="10:12" x14ac:dyDescent="0.2">
      <c r="J20">
        <f t="shared" si="2"/>
        <v>15.2</v>
      </c>
      <c r="K20">
        <f t="shared" si="0"/>
        <v>25.333333333333332</v>
      </c>
      <c r="L20">
        <f t="shared" si="1"/>
        <v>760</v>
      </c>
    </row>
    <row r="21" spans="10:12" x14ac:dyDescent="0.2">
      <c r="J21">
        <f t="shared" si="2"/>
        <v>16.2</v>
      </c>
      <c r="K21">
        <f t="shared" si="0"/>
        <v>27</v>
      </c>
      <c r="L21">
        <f t="shared" si="1"/>
        <v>810</v>
      </c>
    </row>
    <row r="22" spans="10:12" x14ac:dyDescent="0.2">
      <c r="J22">
        <f t="shared" si="2"/>
        <v>17.2</v>
      </c>
      <c r="K22">
        <f t="shared" si="0"/>
        <v>28.666666666666668</v>
      </c>
      <c r="L22">
        <f t="shared" si="1"/>
        <v>860</v>
      </c>
    </row>
    <row r="23" spans="10:12" x14ac:dyDescent="0.2">
      <c r="J23">
        <f t="shared" si="2"/>
        <v>18.2</v>
      </c>
      <c r="K23">
        <f t="shared" si="0"/>
        <v>30.333333333333332</v>
      </c>
      <c r="L23">
        <f t="shared" si="1"/>
        <v>910</v>
      </c>
    </row>
    <row r="24" spans="10:12" x14ac:dyDescent="0.2">
      <c r="J24">
        <f t="shared" si="2"/>
        <v>19.2</v>
      </c>
      <c r="K24">
        <f t="shared" si="0"/>
        <v>32</v>
      </c>
      <c r="L24">
        <f t="shared" si="1"/>
        <v>960</v>
      </c>
    </row>
    <row r="25" spans="10:12" x14ac:dyDescent="0.2">
      <c r="J25">
        <f t="shared" si="2"/>
        <v>20.2</v>
      </c>
      <c r="K25">
        <f t="shared" si="0"/>
        <v>33.666666666666664</v>
      </c>
      <c r="L25">
        <f t="shared" si="1"/>
        <v>1010</v>
      </c>
    </row>
    <row r="26" spans="10:12" x14ac:dyDescent="0.2">
      <c r="J26">
        <f t="shared" si="2"/>
        <v>21.2</v>
      </c>
      <c r="K26">
        <f t="shared" si="0"/>
        <v>35.333333333333336</v>
      </c>
      <c r="L26">
        <f t="shared" si="1"/>
        <v>1060</v>
      </c>
    </row>
    <row r="27" spans="10:12" x14ac:dyDescent="0.2">
      <c r="J27">
        <f t="shared" si="2"/>
        <v>22.2</v>
      </c>
      <c r="K27">
        <f t="shared" si="0"/>
        <v>37</v>
      </c>
      <c r="L27">
        <f t="shared" si="1"/>
        <v>1110</v>
      </c>
    </row>
    <row r="28" spans="10:12" x14ac:dyDescent="0.2">
      <c r="J28">
        <f t="shared" si="2"/>
        <v>23.2</v>
      </c>
      <c r="K28">
        <f t="shared" si="0"/>
        <v>38.666666666666664</v>
      </c>
      <c r="L28">
        <f t="shared" si="1"/>
        <v>1160</v>
      </c>
    </row>
    <row r="29" spans="10:12" x14ac:dyDescent="0.2">
      <c r="J29">
        <f t="shared" si="2"/>
        <v>24.2</v>
      </c>
      <c r="K29">
        <f t="shared" si="0"/>
        <v>40.333333333333336</v>
      </c>
      <c r="L29">
        <f t="shared" si="1"/>
        <v>1210</v>
      </c>
    </row>
    <row r="30" spans="10:12" x14ac:dyDescent="0.2">
      <c r="J30">
        <f t="shared" si="2"/>
        <v>25.2</v>
      </c>
      <c r="K30">
        <f t="shared" si="0"/>
        <v>42</v>
      </c>
      <c r="L30">
        <f t="shared" si="1"/>
        <v>1260</v>
      </c>
    </row>
    <row r="31" spans="10:12" x14ac:dyDescent="0.2">
      <c r="J31">
        <f t="shared" si="2"/>
        <v>26.2</v>
      </c>
      <c r="K31">
        <f t="shared" si="0"/>
        <v>43.666666666666664</v>
      </c>
      <c r="L31">
        <f t="shared" si="1"/>
        <v>1310</v>
      </c>
    </row>
    <row r="32" spans="10:12" x14ac:dyDescent="0.2">
      <c r="J32">
        <f t="shared" si="2"/>
        <v>27.2</v>
      </c>
      <c r="K32">
        <f t="shared" si="0"/>
        <v>45.333333333333336</v>
      </c>
      <c r="L32">
        <f t="shared" si="1"/>
        <v>1360</v>
      </c>
    </row>
    <row r="33" spans="10:12" x14ac:dyDescent="0.2">
      <c r="J33">
        <f t="shared" si="2"/>
        <v>28.2</v>
      </c>
      <c r="K33">
        <f t="shared" si="0"/>
        <v>47</v>
      </c>
      <c r="L33">
        <f t="shared" si="1"/>
        <v>1410</v>
      </c>
    </row>
    <row r="34" spans="10:12" x14ac:dyDescent="0.2">
      <c r="J34">
        <f t="shared" si="2"/>
        <v>29.2</v>
      </c>
      <c r="K34">
        <f t="shared" si="0"/>
        <v>48.666666666666664</v>
      </c>
      <c r="L34">
        <f t="shared" si="1"/>
        <v>1460</v>
      </c>
    </row>
    <row r="35" spans="10:12" x14ac:dyDescent="0.2">
      <c r="J35">
        <f t="shared" si="2"/>
        <v>30.2</v>
      </c>
      <c r="K35">
        <f t="shared" si="0"/>
        <v>50.333333333333336</v>
      </c>
      <c r="L35">
        <f t="shared" si="1"/>
        <v>1510</v>
      </c>
    </row>
    <row r="36" spans="10:12" x14ac:dyDescent="0.2">
      <c r="J36">
        <f t="shared" si="2"/>
        <v>31.2</v>
      </c>
      <c r="K36">
        <f t="shared" si="0"/>
        <v>52</v>
      </c>
      <c r="L36">
        <f t="shared" si="1"/>
        <v>1560</v>
      </c>
    </row>
    <row r="37" spans="10:12" x14ac:dyDescent="0.2">
      <c r="J37">
        <f t="shared" si="2"/>
        <v>32.200000000000003</v>
      </c>
      <c r="K37">
        <f t="shared" si="0"/>
        <v>53.666666666666671</v>
      </c>
      <c r="L37">
        <f t="shared" si="1"/>
        <v>1610.0000000000002</v>
      </c>
    </row>
    <row r="38" spans="10:12" x14ac:dyDescent="0.2">
      <c r="J38">
        <f t="shared" si="2"/>
        <v>33.200000000000003</v>
      </c>
      <c r="K38">
        <f t="shared" si="0"/>
        <v>55.333333333333336</v>
      </c>
      <c r="L38">
        <f t="shared" si="1"/>
        <v>1660</v>
      </c>
    </row>
    <row r="39" spans="10:12" x14ac:dyDescent="0.2">
      <c r="J39">
        <f t="shared" si="2"/>
        <v>34.200000000000003</v>
      </c>
      <c r="K39">
        <f t="shared" si="0"/>
        <v>57</v>
      </c>
      <c r="L39">
        <f t="shared" si="1"/>
        <v>1710</v>
      </c>
    </row>
    <row r="40" spans="10:12" x14ac:dyDescent="0.2">
      <c r="J40">
        <f t="shared" si="2"/>
        <v>35.200000000000003</v>
      </c>
      <c r="K40">
        <f t="shared" si="0"/>
        <v>58.666666666666664</v>
      </c>
      <c r="L40">
        <f t="shared" si="1"/>
        <v>1760</v>
      </c>
    </row>
    <row r="41" spans="10:12" x14ac:dyDescent="0.2">
      <c r="J41">
        <f t="shared" si="2"/>
        <v>36.200000000000003</v>
      </c>
      <c r="K41">
        <f t="shared" si="0"/>
        <v>60.333333333333336</v>
      </c>
      <c r="L41">
        <f t="shared" si="1"/>
        <v>1810</v>
      </c>
    </row>
    <row r="42" spans="10:12" x14ac:dyDescent="0.2">
      <c r="J42">
        <f t="shared" si="2"/>
        <v>37.200000000000003</v>
      </c>
      <c r="K42">
        <f t="shared" si="0"/>
        <v>62</v>
      </c>
      <c r="L42">
        <f t="shared" si="1"/>
        <v>1860</v>
      </c>
    </row>
    <row r="43" spans="10:12" x14ac:dyDescent="0.2">
      <c r="J43">
        <f t="shared" si="2"/>
        <v>38.200000000000003</v>
      </c>
      <c r="K43">
        <f t="shared" si="0"/>
        <v>63.666666666666664</v>
      </c>
      <c r="L43">
        <f t="shared" si="1"/>
        <v>1910</v>
      </c>
    </row>
    <row r="44" spans="10:12" x14ac:dyDescent="0.2">
      <c r="J44">
        <f t="shared" si="2"/>
        <v>39.200000000000003</v>
      </c>
      <c r="K44">
        <f t="shared" si="0"/>
        <v>65.333333333333329</v>
      </c>
      <c r="L44">
        <f t="shared" si="1"/>
        <v>1960</v>
      </c>
    </row>
    <row r="45" spans="10:12" x14ac:dyDescent="0.2">
      <c r="J45">
        <f t="shared" si="2"/>
        <v>40.200000000000003</v>
      </c>
      <c r="K45">
        <f t="shared" si="0"/>
        <v>67</v>
      </c>
      <c r="L45">
        <f t="shared" si="1"/>
        <v>2010</v>
      </c>
    </row>
    <row r="46" spans="10:12" x14ac:dyDescent="0.2">
      <c r="J46">
        <f t="shared" si="2"/>
        <v>41.2</v>
      </c>
      <c r="K46">
        <f t="shared" si="0"/>
        <v>68.666666666666671</v>
      </c>
      <c r="L46">
        <f t="shared" si="1"/>
        <v>2060</v>
      </c>
    </row>
    <row r="47" spans="10:12" x14ac:dyDescent="0.2">
      <c r="J47">
        <f t="shared" si="2"/>
        <v>42.2</v>
      </c>
      <c r="K47">
        <f t="shared" si="0"/>
        <v>70.333333333333329</v>
      </c>
      <c r="L47">
        <f t="shared" si="1"/>
        <v>2110</v>
      </c>
    </row>
    <row r="48" spans="10:12" x14ac:dyDescent="0.2">
      <c r="J48">
        <f t="shared" si="2"/>
        <v>43.2</v>
      </c>
      <c r="K48">
        <f t="shared" si="0"/>
        <v>72</v>
      </c>
      <c r="L48">
        <f t="shared" si="1"/>
        <v>2160</v>
      </c>
    </row>
    <row r="49" spans="10:12" x14ac:dyDescent="0.2">
      <c r="J49">
        <f t="shared" si="2"/>
        <v>44.2</v>
      </c>
      <c r="K49">
        <f t="shared" si="0"/>
        <v>73.666666666666671</v>
      </c>
      <c r="L49">
        <f t="shared" si="1"/>
        <v>2210</v>
      </c>
    </row>
    <row r="50" spans="10:12" x14ac:dyDescent="0.2">
      <c r="J50">
        <f t="shared" si="2"/>
        <v>45.2</v>
      </c>
      <c r="K50">
        <f t="shared" si="0"/>
        <v>75.333333333333329</v>
      </c>
      <c r="L50">
        <f t="shared" si="1"/>
        <v>2260</v>
      </c>
    </row>
    <row r="51" spans="10:12" x14ac:dyDescent="0.2">
      <c r="J51">
        <f t="shared" si="2"/>
        <v>46.2</v>
      </c>
      <c r="K51">
        <f t="shared" si="0"/>
        <v>77</v>
      </c>
      <c r="L51">
        <f t="shared" si="1"/>
        <v>2310</v>
      </c>
    </row>
    <row r="52" spans="10:12" x14ac:dyDescent="0.2">
      <c r="J52">
        <f t="shared" si="2"/>
        <v>47.2</v>
      </c>
      <c r="K52">
        <f t="shared" si="0"/>
        <v>78.666666666666671</v>
      </c>
      <c r="L52">
        <f t="shared" si="1"/>
        <v>2360</v>
      </c>
    </row>
    <row r="53" spans="10:12" x14ac:dyDescent="0.2">
      <c r="J53">
        <f t="shared" si="2"/>
        <v>48.2</v>
      </c>
      <c r="K53">
        <f t="shared" si="0"/>
        <v>80.333333333333329</v>
      </c>
      <c r="L53">
        <f t="shared" si="1"/>
        <v>2410</v>
      </c>
    </row>
    <row r="54" spans="10:12" x14ac:dyDescent="0.2">
      <c r="J54">
        <f t="shared" si="2"/>
        <v>49.2</v>
      </c>
      <c r="K54">
        <f t="shared" si="0"/>
        <v>82</v>
      </c>
      <c r="L54">
        <f t="shared" si="1"/>
        <v>2460</v>
      </c>
    </row>
    <row r="55" spans="10:12" x14ac:dyDescent="0.2">
      <c r="J55">
        <f t="shared" si="2"/>
        <v>50.2</v>
      </c>
      <c r="K55">
        <f t="shared" si="0"/>
        <v>83.666666666666671</v>
      </c>
      <c r="L55">
        <f t="shared" si="1"/>
        <v>2510</v>
      </c>
    </row>
    <row r="56" spans="10:12" x14ac:dyDescent="0.2">
      <c r="J56">
        <f t="shared" si="2"/>
        <v>51.2</v>
      </c>
      <c r="K56">
        <f t="shared" si="0"/>
        <v>85.333333333333329</v>
      </c>
      <c r="L56">
        <f t="shared" si="1"/>
        <v>2560</v>
      </c>
    </row>
    <row r="57" spans="10:12" x14ac:dyDescent="0.2">
      <c r="J57">
        <f t="shared" si="2"/>
        <v>52.2</v>
      </c>
      <c r="K57">
        <f t="shared" si="0"/>
        <v>87</v>
      </c>
      <c r="L57">
        <f t="shared" si="1"/>
        <v>2610</v>
      </c>
    </row>
    <row r="58" spans="10:12" x14ac:dyDescent="0.2">
      <c r="J58">
        <f t="shared" si="2"/>
        <v>53.2</v>
      </c>
      <c r="K58">
        <f t="shared" si="0"/>
        <v>88.666666666666671</v>
      </c>
      <c r="L58">
        <f t="shared" si="1"/>
        <v>2660</v>
      </c>
    </row>
    <row r="59" spans="10:12" x14ac:dyDescent="0.2">
      <c r="J59">
        <f t="shared" si="2"/>
        <v>54.2</v>
      </c>
      <c r="K59">
        <f t="shared" si="0"/>
        <v>90.333333333333329</v>
      </c>
      <c r="L59">
        <f t="shared" si="1"/>
        <v>2710</v>
      </c>
    </row>
    <row r="60" spans="10:12" x14ac:dyDescent="0.2">
      <c r="J60">
        <f t="shared" si="2"/>
        <v>55.2</v>
      </c>
      <c r="K60">
        <f t="shared" si="0"/>
        <v>92</v>
      </c>
      <c r="L60">
        <f t="shared" si="1"/>
        <v>2760</v>
      </c>
    </row>
    <row r="61" spans="10:12" x14ac:dyDescent="0.2">
      <c r="J61">
        <f t="shared" si="2"/>
        <v>56.2</v>
      </c>
      <c r="K61">
        <f t="shared" si="0"/>
        <v>93.666666666666671</v>
      </c>
      <c r="L61">
        <f t="shared" si="1"/>
        <v>2810</v>
      </c>
    </row>
    <row r="62" spans="10:12" x14ac:dyDescent="0.2">
      <c r="J62">
        <f t="shared" si="2"/>
        <v>57.2</v>
      </c>
      <c r="K62">
        <f t="shared" si="0"/>
        <v>95.333333333333329</v>
      </c>
      <c r="L62">
        <f t="shared" si="1"/>
        <v>2860</v>
      </c>
    </row>
    <row r="63" spans="10:12" x14ac:dyDescent="0.2">
      <c r="J63">
        <f t="shared" si="2"/>
        <v>58.2</v>
      </c>
      <c r="K63">
        <f t="shared" si="0"/>
        <v>97</v>
      </c>
      <c r="L63">
        <f t="shared" si="1"/>
        <v>2910</v>
      </c>
    </row>
    <row r="64" spans="10:12" x14ac:dyDescent="0.2">
      <c r="J64">
        <f t="shared" si="2"/>
        <v>59.2</v>
      </c>
      <c r="K64">
        <f t="shared" si="0"/>
        <v>98.666666666666671</v>
      </c>
      <c r="L64">
        <f t="shared" si="1"/>
        <v>2960</v>
      </c>
    </row>
    <row r="65" spans="10:12" x14ac:dyDescent="0.2">
      <c r="J65">
        <f t="shared" si="2"/>
        <v>60.2</v>
      </c>
      <c r="K65">
        <f t="shared" si="0"/>
        <v>100.33333333333333</v>
      </c>
      <c r="L65">
        <f t="shared" si="1"/>
        <v>3010</v>
      </c>
    </row>
    <row r="66" spans="10:12" x14ac:dyDescent="0.2">
      <c r="J66">
        <f t="shared" si="2"/>
        <v>61.2</v>
      </c>
      <c r="K66">
        <f t="shared" si="0"/>
        <v>102</v>
      </c>
      <c r="L66">
        <f t="shared" si="1"/>
        <v>3060</v>
      </c>
    </row>
    <row r="67" spans="10:12" x14ac:dyDescent="0.2">
      <c r="J67">
        <f t="shared" si="2"/>
        <v>62.2</v>
      </c>
      <c r="K67">
        <f t="shared" si="0"/>
        <v>103.66666666666667</v>
      </c>
      <c r="L67">
        <f t="shared" si="1"/>
        <v>3110</v>
      </c>
    </row>
    <row r="68" spans="10:12" x14ac:dyDescent="0.2">
      <c r="J68">
        <f t="shared" si="2"/>
        <v>63.2</v>
      </c>
      <c r="K68">
        <f t="shared" si="0"/>
        <v>105.33333333333333</v>
      </c>
      <c r="L68">
        <f t="shared" si="1"/>
        <v>3160</v>
      </c>
    </row>
    <row r="69" spans="10:12" x14ac:dyDescent="0.2">
      <c r="J69">
        <f t="shared" si="2"/>
        <v>64.2</v>
      </c>
      <c r="K69">
        <f t="shared" si="0"/>
        <v>107</v>
      </c>
      <c r="L69">
        <f t="shared" si="1"/>
        <v>3210</v>
      </c>
    </row>
    <row r="70" spans="10:12" x14ac:dyDescent="0.2">
      <c r="J70">
        <f t="shared" si="2"/>
        <v>65.2</v>
      </c>
      <c r="K70">
        <f t="shared" ref="K70:K133" si="3">J70*D$9/D$4</f>
        <v>108.66666666666667</v>
      </c>
      <c r="L70">
        <f t="shared" ref="L70:L133" si="4">J70*D$9/D$3</f>
        <v>3260</v>
      </c>
    </row>
    <row r="71" spans="10:12" x14ac:dyDescent="0.2">
      <c r="J71">
        <f t="shared" ref="J71:J134" si="5">J70+1</f>
        <v>66.2</v>
      </c>
      <c r="K71">
        <f t="shared" si="3"/>
        <v>110.33333333333333</v>
      </c>
      <c r="L71">
        <f t="shared" si="4"/>
        <v>3310</v>
      </c>
    </row>
    <row r="72" spans="10:12" x14ac:dyDescent="0.2">
      <c r="J72">
        <f t="shared" si="5"/>
        <v>67.2</v>
      </c>
      <c r="K72">
        <f t="shared" si="3"/>
        <v>112</v>
      </c>
      <c r="L72">
        <f t="shared" si="4"/>
        <v>3360</v>
      </c>
    </row>
    <row r="73" spans="10:12" x14ac:dyDescent="0.2">
      <c r="J73">
        <f t="shared" si="5"/>
        <v>68.2</v>
      </c>
      <c r="K73">
        <f t="shared" si="3"/>
        <v>113.66666666666667</v>
      </c>
      <c r="L73">
        <f t="shared" si="4"/>
        <v>3410</v>
      </c>
    </row>
    <row r="74" spans="10:12" x14ac:dyDescent="0.2">
      <c r="J74">
        <f t="shared" si="5"/>
        <v>69.2</v>
      </c>
      <c r="K74">
        <f t="shared" si="3"/>
        <v>115.33333333333333</v>
      </c>
      <c r="L74">
        <f t="shared" si="4"/>
        <v>3460</v>
      </c>
    </row>
    <row r="75" spans="10:12" x14ac:dyDescent="0.2">
      <c r="J75">
        <f t="shared" si="5"/>
        <v>70.2</v>
      </c>
      <c r="K75">
        <f t="shared" si="3"/>
        <v>117</v>
      </c>
      <c r="L75">
        <f t="shared" si="4"/>
        <v>3510</v>
      </c>
    </row>
    <row r="76" spans="10:12" x14ac:dyDescent="0.2">
      <c r="J76">
        <f t="shared" si="5"/>
        <v>71.2</v>
      </c>
      <c r="K76">
        <f t="shared" si="3"/>
        <v>118.66666666666667</v>
      </c>
      <c r="L76">
        <f t="shared" si="4"/>
        <v>3560</v>
      </c>
    </row>
    <row r="77" spans="10:12" x14ac:dyDescent="0.2">
      <c r="J77">
        <f t="shared" si="5"/>
        <v>72.2</v>
      </c>
      <c r="K77">
        <f t="shared" si="3"/>
        <v>120.33333333333333</v>
      </c>
      <c r="L77">
        <f t="shared" si="4"/>
        <v>3610</v>
      </c>
    </row>
    <row r="78" spans="10:12" x14ac:dyDescent="0.2">
      <c r="J78">
        <f t="shared" si="5"/>
        <v>73.2</v>
      </c>
      <c r="K78">
        <f t="shared" si="3"/>
        <v>122</v>
      </c>
      <c r="L78">
        <f t="shared" si="4"/>
        <v>3660</v>
      </c>
    </row>
    <row r="79" spans="10:12" x14ac:dyDescent="0.2">
      <c r="J79">
        <f t="shared" si="5"/>
        <v>74.2</v>
      </c>
      <c r="K79">
        <f t="shared" si="3"/>
        <v>123.66666666666667</v>
      </c>
      <c r="L79">
        <f t="shared" si="4"/>
        <v>3710</v>
      </c>
    </row>
    <row r="80" spans="10:12" x14ac:dyDescent="0.2">
      <c r="J80">
        <f t="shared" si="5"/>
        <v>75.2</v>
      </c>
      <c r="K80">
        <f t="shared" si="3"/>
        <v>125.33333333333333</v>
      </c>
      <c r="L80">
        <f t="shared" si="4"/>
        <v>3760</v>
      </c>
    </row>
    <row r="81" spans="10:12" x14ac:dyDescent="0.2">
      <c r="J81">
        <f t="shared" si="5"/>
        <v>76.2</v>
      </c>
      <c r="K81">
        <f t="shared" si="3"/>
        <v>127</v>
      </c>
      <c r="L81">
        <f t="shared" si="4"/>
        <v>3810</v>
      </c>
    </row>
    <row r="82" spans="10:12" x14ac:dyDescent="0.2">
      <c r="J82">
        <f t="shared" si="5"/>
        <v>77.2</v>
      </c>
      <c r="K82">
        <f t="shared" si="3"/>
        <v>128.66666666666666</v>
      </c>
      <c r="L82">
        <f t="shared" si="4"/>
        <v>3860</v>
      </c>
    </row>
    <row r="83" spans="10:12" x14ac:dyDescent="0.2">
      <c r="J83">
        <f t="shared" si="5"/>
        <v>78.2</v>
      </c>
      <c r="K83">
        <f t="shared" si="3"/>
        <v>130.33333333333334</v>
      </c>
      <c r="L83">
        <f t="shared" si="4"/>
        <v>3910</v>
      </c>
    </row>
    <row r="84" spans="10:12" x14ac:dyDescent="0.2">
      <c r="J84">
        <f t="shared" si="5"/>
        <v>79.2</v>
      </c>
      <c r="K84">
        <f t="shared" si="3"/>
        <v>132</v>
      </c>
      <c r="L84">
        <f t="shared" si="4"/>
        <v>3960</v>
      </c>
    </row>
    <row r="85" spans="10:12" x14ac:dyDescent="0.2">
      <c r="J85">
        <f t="shared" si="5"/>
        <v>80.2</v>
      </c>
      <c r="K85">
        <f t="shared" si="3"/>
        <v>133.66666666666666</v>
      </c>
      <c r="L85">
        <f t="shared" si="4"/>
        <v>4010</v>
      </c>
    </row>
    <row r="86" spans="10:12" x14ac:dyDescent="0.2">
      <c r="J86">
        <f t="shared" si="5"/>
        <v>81.2</v>
      </c>
      <c r="K86">
        <f t="shared" si="3"/>
        <v>135.33333333333334</v>
      </c>
      <c r="L86">
        <f t="shared" si="4"/>
        <v>4060</v>
      </c>
    </row>
    <row r="87" spans="10:12" x14ac:dyDescent="0.2">
      <c r="J87">
        <f t="shared" si="5"/>
        <v>82.2</v>
      </c>
      <c r="K87">
        <f t="shared" si="3"/>
        <v>137</v>
      </c>
      <c r="L87">
        <f t="shared" si="4"/>
        <v>4110</v>
      </c>
    </row>
    <row r="88" spans="10:12" x14ac:dyDescent="0.2">
      <c r="J88">
        <f t="shared" si="5"/>
        <v>83.2</v>
      </c>
      <c r="K88">
        <f t="shared" si="3"/>
        <v>138.66666666666666</v>
      </c>
      <c r="L88">
        <f t="shared" si="4"/>
        <v>4160</v>
      </c>
    </row>
    <row r="89" spans="10:12" x14ac:dyDescent="0.2">
      <c r="J89">
        <f t="shared" si="5"/>
        <v>84.2</v>
      </c>
      <c r="K89">
        <f t="shared" si="3"/>
        <v>140.33333333333334</v>
      </c>
      <c r="L89">
        <f t="shared" si="4"/>
        <v>4210</v>
      </c>
    </row>
    <row r="90" spans="10:12" x14ac:dyDescent="0.2">
      <c r="J90">
        <f t="shared" si="5"/>
        <v>85.2</v>
      </c>
      <c r="K90">
        <f t="shared" si="3"/>
        <v>142</v>
      </c>
      <c r="L90">
        <f t="shared" si="4"/>
        <v>4260</v>
      </c>
    </row>
    <row r="91" spans="10:12" x14ac:dyDescent="0.2">
      <c r="J91">
        <f t="shared" si="5"/>
        <v>86.2</v>
      </c>
      <c r="K91">
        <f t="shared" si="3"/>
        <v>143.66666666666666</v>
      </c>
      <c r="L91">
        <f t="shared" si="4"/>
        <v>4310</v>
      </c>
    </row>
    <row r="92" spans="10:12" x14ac:dyDescent="0.2">
      <c r="J92">
        <f t="shared" si="5"/>
        <v>87.2</v>
      </c>
      <c r="K92">
        <f t="shared" si="3"/>
        <v>145.33333333333334</v>
      </c>
      <c r="L92">
        <f t="shared" si="4"/>
        <v>4360</v>
      </c>
    </row>
    <row r="93" spans="10:12" x14ac:dyDescent="0.2">
      <c r="J93">
        <f t="shared" si="5"/>
        <v>88.2</v>
      </c>
      <c r="K93">
        <f t="shared" si="3"/>
        <v>147</v>
      </c>
      <c r="L93">
        <f t="shared" si="4"/>
        <v>4410</v>
      </c>
    </row>
    <row r="94" spans="10:12" x14ac:dyDescent="0.2">
      <c r="J94">
        <f t="shared" si="5"/>
        <v>89.2</v>
      </c>
      <c r="K94">
        <f t="shared" si="3"/>
        <v>148.66666666666666</v>
      </c>
      <c r="L94">
        <f t="shared" si="4"/>
        <v>4460</v>
      </c>
    </row>
    <row r="95" spans="10:12" x14ac:dyDescent="0.2">
      <c r="J95">
        <f t="shared" si="5"/>
        <v>90.2</v>
      </c>
      <c r="K95">
        <f t="shared" si="3"/>
        <v>150.33333333333334</v>
      </c>
      <c r="L95">
        <f t="shared" si="4"/>
        <v>4510</v>
      </c>
    </row>
    <row r="96" spans="10:12" x14ac:dyDescent="0.2">
      <c r="J96">
        <f t="shared" si="5"/>
        <v>91.2</v>
      </c>
      <c r="K96">
        <f t="shared" si="3"/>
        <v>152</v>
      </c>
      <c r="L96">
        <f t="shared" si="4"/>
        <v>4560</v>
      </c>
    </row>
    <row r="97" spans="10:12" x14ac:dyDescent="0.2">
      <c r="J97">
        <f t="shared" si="5"/>
        <v>92.2</v>
      </c>
      <c r="K97">
        <f t="shared" si="3"/>
        <v>153.66666666666666</v>
      </c>
      <c r="L97">
        <f t="shared" si="4"/>
        <v>4610</v>
      </c>
    </row>
    <row r="98" spans="10:12" x14ac:dyDescent="0.2">
      <c r="J98">
        <f t="shared" si="5"/>
        <v>93.2</v>
      </c>
      <c r="K98">
        <f t="shared" si="3"/>
        <v>155.33333333333334</v>
      </c>
      <c r="L98">
        <f t="shared" si="4"/>
        <v>4660</v>
      </c>
    </row>
    <row r="99" spans="10:12" x14ac:dyDescent="0.2">
      <c r="J99">
        <f t="shared" si="5"/>
        <v>94.2</v>
      </c>
      <c r="K99">
        <f t="shared" si="3"/>
        <v>157</v>
      </c>
      <c r="L99">
        <f t="shared" si="4"/>
        <v>4710</v>
      </c>
    </row>
    <row r="100" spans="10:12" x14ac:dyDescent="0.2">
      <c r="J100">
        <f t="shared" si="5"/>
        <v>95.2</v>
      </c>
      <c r="K100">
        <f t="shared" si="3"/>
        <v>158.66666666666666</v>
      </c>
      <c r="L100">
        <f t="shared" si="4"/>
        <v>4760</v>
      </c>
    </row>
    <row r="101" spans="10:12" x14ac:dyDescent="0.2">
      <c r="J101">
        <f t="shared" si="5"/>
        <v>96.2</v>
      </c>
      <c r="K101">
        <f t="shared" si="3"/>
        <v>160.33333333333334</v>
      </c>
      <c r="L101">
        <f t="shared" si="4"/>
        <v>4810</v>
      </c>
    </row>
    <row r="102" spans="10:12" x14ac:dyDescent="0.2">
      <c r="J102">
        <f t="shared" si="5"/>
        <v>97.2</v>
      </c>
      <c r="K102">
        <f t="shared" si="3"/>
        <v>162</v>
      </c>
      <c r="L102">
        <f t="shared" si="4"/>
        <v>4860</v>
      </c>
    </row>
    <row r="103" spans="10:12" x14ac:dyDescent="0.2">
      <c r="J103">
        <f t="shared" si="5"/>
        <v>98.2</v>
      </c>
      <c r="K103">
        <f t="shared" si="3"/>
        <v>163.66666666666666</v>
      </c>
      <c r="L103">
        <f t="shared" si="4"/>
        <v>4910</v>
      </c>
    </row>
    <row r="104" spans="10:12" x14ac:dyDescent="0.2">
      <c r="J104">
        <f t="shared" si="5"/>
        <v>99.2</v>
      </c>
      <c r="K104">
        <f t="shared" si="3"/>
        <v>165.33333333333334</v>
      </c>
      <c r="L104">
        <f t="shared" si="4"/>
        <v>4960</v>
      </c>
    </row>
    <row r="105" spans="10:12" x14ac:dyDescent="0.2">
      <c r="J105">
        <f t="shared" si="5"/>
        <v>100.2</v>
      </c>
      <c r="K105">
        <f t="shared" si="3"/>
        <v>167</v>
      </c>
      <c r="L105">
        <f t="shared" si="4"/>
        <v>5010</v>
      </c>
    </row>
    <row r="106" spans="10:12" x14ac:dyDescent="0.2">
      <c r="J106">
        <f t="shared" si="5"/>
        <v>101.2</v>
      </c>
      <c r="K106">
        <f t="shared" si="3"/>
        <v>168.66666666666666</v>
      </c>
      <c r="L106">
        <f t="shared" si="4"/>
        <v>5060</v>
      </c>
    </row>
    <row r="107" spans="10:12" x14ac:dyDescent="0.2">
      <c r="J107">
        <f t="shared" si="5"/>
        <v>102.2</v>
      </c>
      <c r="K107">
        <f t="shared" si="3"/>
        <v>170.33333333333334</v>
      </c>
      <c r="L107">
        <f t="shared" si="4"/>
        <v>5110</v>
      </c>
    </row>
    <row r="108" spans="10:12" x14ac:dyDescent="0.2">
      <c r="J108">
        <f t="shared" si="5"/>
        <v>103.2</v>
      </c>
      <c r="K108">
        <f t="shared" si="3"/>
        <v>172</v>
      </c>
      <c r="L108">
        <f t="shared" si="4"/>
        <v>5160</v>
      </c>
    </row>
    <row r="109" spans="10:12" x14ac:dyDescent="0.2">
      <c r="J109">
        <f t="shared" si="5"/>
        <v>104.2</v>
      </c>
      <c r="K109">
        <f t="shared" si="3"/>
        <v>173.66666666666666</v>
      </c>
      <c r="L109">
        <f t="shared" si="4"/>
        <v>5210</v>
      </c>
    </row>
    <row r="110" spans="10:12" x14ac:dyDescent="0.2">
      <c r="J110">
        <f t="shared" si="5"/>
        <v>105.2</v>
      </c>
      <c r="K110">
        <f t="shared" si="3"/>
        <v>175.33333333333334</v>
      </c>
      <c r="L110">
        <f t="shared" si="4"/>
        <v>5260</v>
      </c>
    </row>
    <row r="111" spans="10:12" x14ac:dyDescent="0.2">
      <c r="J111">
        <f t="shared" si="5"/>
        <v>106.2</v>
      </c>
      <c r="K111">
        <f t="shared" si="3"/>
        <v>177</v>
      </c>
      <c r="L111">
        <f t="shared" si="4"/>
        <v>5310</v>
      </c>
    </row>
    <row r="112" spans="10:12" x14ac:dyDescent="0.2">
      <c r="J112">
        <f t="shared" si="5"/>
        <v>107.2</v>
      </c>
      <c r="K112">
        <f t="shared" si="3"/>
        <v>178.66666666666666</v>
      </c>
      <c r="L112">
        <f t="shared" si="4"/>
        <v>5360</v>
      </c>
    </row>
    <row r="113" spans="10:12" x14ac:dyDescent="0.2">
      <c r="J113">
        <f t="shared" si="5"/>
        <v>108.2</v>
      </c>
      <c r="K113">
        <f t="shared" si="3"/>
        <v>180.33333333333334</v>
      </c>
      <c r="L113">
        <f t="shared" si="4"/>
        <v>5410</v>
      </c>
    </row>
    <row r="114" spans="10:12" x14ac:dyDescent="0.2">
      <c r="J114">
        <f t="shared" si="5"/>
        <v>109.2</v>
      </c>
      <c r="K114">
        <f t="shared" si="3"/>
        <v>182</v>
      </c>
      <c r="L114">
        <f t="shared" si="4"/>
        <v>5460</v>
      </c>
    </row>
    <row r="115" spans="10:12" x14ac:dyDescent="0.2">
      <c r="J115">
        <f t="shared" si="5"/>
        <v>110.2</v>
      </c>
      <c r="K115">
        <f t="shared" si="3"/>
        <v>183.66666666666666</v>
      </c>
      <c r="L115">
        <f t="shared" si="4"/>
        <v>5510</v>
      </c>
    </row>
    <row r="116" spans="10:12" x14ac:dyDescent="0.2">
      <c r="J116">
        <f t="shared" si="5"/>
        <v>111.2</v>
      </c>
      <c r="K116">
        <f t="shared" si="3"/>
        <v>185.33333333333334</v>
      </c>
      <c r="L116">
        <f t="shared" si="4"/>
        <v>5560</v>
      </c>
    </row>
    <row r="117" spans="10:12" x14ac:dyDescent="0.2">
      <c r="J117">
        <f t="shared" si="5"/>
        <v>112.2</v>
      </c>
      <c r="K117">
        <f t="shared" si="3"/>
        <v>187</v>
      </c>
      <c r="L117">
        <f t="shared" si="4"/>
        <v>5610</v>
      </c>
    </row>
    <row r="118" spans="10:12" x14ac:dyDescent="0.2">
      <c r="J118">
        <f t="shared" si="5"/>
        <v>113.2</v>
      </c>
      <c r="K118">
        <f t="shared" si="3"/>
        <v>188.66666666666666</v>
      </c>
      <c r="L118">
        <f t="shared" si="4"/>
        <v>5660</v>
      </c>
    </row>
    <row r="119" spans="10:12" x14ac:dyDescent="0.2">
      <c r="J119">
        <f t="shared" si="5"/>
        <v>114.2</v>
      </c>
      <c r="K119">
        <f t="shared" si="3"/>
        <v>190.33333333333334</v>
      </c>
      <c r="L119">
        <f t="shared" si="4"/>
        <v>5710</v>
      </c>
    </row>
    <row r="120" spans="10:12" x14ac:dyDescent="0.2">
      <c r="J120">
        <f t="shared" si="5"/>
        <v>115.2</v>
      </c>
      <c r="K120">
        <f t="shared" si="3"/>
        <v>192</v>
      </c>
      <c r="L120">
        <f t="shared" si="4"/>
        <v>5760</v>
      </c>
    </row>
    <row r="121" spans="10:12" x14ac:dyDescent="0.2">
      <c r="J121">
        <f t="shared" si="5"/>
        <v>116.2</v>
      </c>
      <c r="K121">
        <f t="shared" si="3"/>
        <v>193.66666666666666</v>
      </c>
      <c r="L121">
        <f t="shared" si="4"/>
        <v>5810</v>
      </c>
    </row>
    <row r="122" spans="10:12" x14ac:dyDescent="0.2">
      <c r="J122">
        <f t="shared" si="5"/>
        <v>117.2</v>
      </c>
      <c r="K122">
        <f t="shared" si="3"/>
        <v>195.33333333333334</v>
      </c>
      <c r="L122">
        <f t="shared" si="4"/>
        <v>5860</v>
      </c>
    </row>
    <row r="123" spans="10:12" x14ac:dyDescent="0.2">
      <c r="J123">
        <f t="shared" si="5"/>
        <v>118.2</v>
      </c>
      <c r="K123">
        <f t="shared" si="3"/>
        <v>197</v>
      </c>
      <c r="L123">
        <f t="shared" si="4"/>
        <v>5910</v>
      </c>
    </row>
    <row r="124" spans="10:12" x14ac:dyDescent="0.2">
      <c r="J124">
        <f t="shared" si="5"/>
        <v>119.2</v>
      </c>
      <c r="K124">
        <f t="shared" si="3"/>
        <v>198.66666666666666</v>
      </c>
      <c r="L124">
        <f t="shared" si="4"/>
        <v>5960</v>
      </c>
    </row>
    <row r="125" spans="10:12" x14ac:dyDescent="0.2">
      <c r="J125">
        <f t="shared" si="5"/>
        <v>120.2</v>
      </c>
      <c r="K125">
        <f t="shared" si="3"/>
        <v>200.33333333333334</v>
      </c>
      <c r="L125">
        <f t="shared" si="4"/>
        <v>6010</v>
      </c>
    </row>
    <row r="126" spans="10:12" x14ac:dyDescent="0.2">
      <c r="J126">
        <f t="shared" si="5"/>
        <v>121.2</v>
      </c>
      <c r="K126">
        <f t="shared" si="3"/>
        <v>202</v>
      </c>
      <c r="L126">
        <f t="shared" si="4"/>
        <v>6060</v>
      </c>
    </row>
    <row r="127" spans="10:12" x14ac:dyDescent="0.2">
      <c r="J127">
        <f t="shared" si="5"/>
        <v>122.2</v>
      </c>
      <c r="K127">
        <f t="shared" si="3"/>
        <v>203.66666666666666</v>
      </c>
      <c r="L127">
        <f t="shared" si="4"/>
        <v>6110</v>
      </c>
    </row>
    <row r="128" spans="10:12" x14ac:dyDescent="0.2">
      <c r="J128">
        <f t="shared" si="5"/>
        <v>123.2</v>
      </c>
      <c r="K128">
        <f t="shared" si="3"/>
        <v>205.33333333333334</v>
      </c>
      <c r="L128">
        <f t="shared" si="4"/>
        <v>6160</v>
      </c>
    </row>
    <row r="129" spans="10:12" x14ac:dyDescent="0.2">
      <c r="J129">
        <f t="shared" si="5"/>
        <v>124.2</v>
      </c>
      <c r="K129">
        <f t="shared" si="3"/>
        <v>207</v>
      </c>
      <c r="L129">
        <f t="shared" si="4"/>
        <v>6210</v>
      </c>
    </row>
    <row r="130" spans="10:12" x14ac:dyDescent="0.2">
      <c r="J130">
        <f t="shared" si="5"/>
        <v>125.2</v>
      </c>
      <c r="K130">
        <f t="shared" si="3"/>
        <v>208.66666666666666</v>
      </c>
      <c r="L130">
        <f t="shared" si="4"/>
        <v>6260</v>
      </c>
    </row>
    <row r="131" spans="10:12" x14ac:dyDescent="0.2">
      <c r="J131">
        <f t="shared" si="5"/>
        <v>126.2</v>
      </c>
      <c r="K131">
        <f t="shared" si="3"/>
        <v>210.33333333333334</v>
      </c>
      <c r="L131">
        <f t="shared" si="4"/>
        <v>6310</v>
      </c>
    </row>
    <row r="132" spans="10:12" x14ac:dyDescent="0.2">
      <c r="J132">
        <f t="shared" si="5"/>
        <v>127.2</v>
      </c>
      <c r="K132">
        <f t="shared" si="3"/>
        <v>212</v>
      </c>
      <c r="L132">
        <f t="shared" si="4"/>
        <v>6360</v>
      </c>
    </row>
    <row r="133" spans="10:12" x14ac:dyDescent="0.2">
      <c r="J133">
        <f t="shared" si="5"/>
        <v>128.19999999999999</v>
      </c>
      <c r="K133">
        <f t="shared" si="3"/>
        <v>213.66666666666663</v>
      </c>
      <c r="L133">
        <f t="shared" si="4"/>
        <v>6409.9999999999991</v>
      </c>
    </row>
    <row r="134" spans="10:12" x14ac:dyDescent="0.2">
      <c r="J134">
        <f t="shared" si="5"/>
        <v>129.19999999999999</v>
      </c>
      <c r="K134">
        <f t="shared" ref="K134:K197" si="6">J134*D$9/D$4</f>
        <v>215.33333333333331</v>
      </c>
      <c r="L134">
        <f t="shared" ref="L134:L197" si="7">J134*D$9/D$3</f>
        <v>6459.9999999999991</v>
      </c>
    </row>
    <row r="135" spans="10:12" x14ac:dyDescent="0.2">
      <c r="J135">
        <f t="shared" ref="J135:J198" si="8">J134+1</f>
        <v>130.19999999999999</v>
      </c>
      <c r="K135">
        <f t="shared" si="6"/>
        <v>216.99999999999997</v>
      </c>
      <c r="L135">
        <f t="shared" si="7"/>
        <v>6509.9999999999991</v>
      </c>
    </row>
    <row r="136" spans="10:12" x14ac:dyDescent="0.2">
      <c r="J136">
        <f t="shared" si="8"/>
        <v>131.19999999999999</v>
      </c>
      <c r="K136">
        <f t="shared" si="6"/>
        <v>218.66666666666666</v>
      </c>
      <c r="L136">
        <f t="shared" si="7"/>
        <v>6560</v>
      </c>
    </row>
    <row r="137" spans="10:12" x14ac:dyDescent="0.2">
      <c r="J137">
        <f t="shared" si="8"/>
        <v>132.19999999999999</v>
      </c>
      <c r="K137">
        <f t="shared" si="6"/>
        <v>220.33333333333334</v>
      </c>
      <c r="L137">
        <f t="shared" si="7"/>
        <v>6610</v>
      </c>
    </row>
    <row r="138" spans="10:12" x14ac:dyDescent="0.2">
      <c r="J138">
        <f t="shared" si="8"/>
        <v>133.19999999999999</v>
      </c>
      <c r="K138">
        <f t="shared" si="6"/>
        <v>222</v>
      </c>
      <c r="L138">
        <f t="shared" si="7"/>
        <v>6660</v>
      </c>
    </row>
    <row r="139" spans="10:12" x14ac:dyDescent="0.2">
      <c r="J139">
        <f t="shared" si="8"/>
        <v>134.19999999999999</v>
      </c>
      <c r="K139">
        <f t="shared" si="6"/>
        <v>223.66666666666666</v>
      </c>
      <c r="L139">
        <f t="shared" si="7"/>
        <v>6710</v>
      </c>
    </row>
    <row r="140" spans="10:12" x14ac:dyDescent="0.2">
      <c r="J140">
        <f t="shared" si="8"/>
        <v>135.19999999999999</v>
      </c>
      <c r="K140">
        <f t="shared" si="6"/>
        <v>225.33333333333334</v>
      </c>
      <c r="L140">
        <f t="shared" si="7"/>
        <v>6760</v>
      </c>
    </row>
    <row r="141" spans="10:12" x14ac:dyDescent="0.2">
      <c r="J141">
        <f t="shared" si="8"/>
        <v>136.19999999999999</v>
      </c>
      <c r="K141">
        <f t="shared" si="6"/>
        <v>227</v>
      </c>
      <c r="L141">
        <f t="shared" si="7"/>
        <v>6810</v>
      </c>
    </row>
    <row r="142" spans="10:12" x14ac:dyDescent="0.2">
      <c r="J142">
        <f t="shared" si="8"/>
        <v>137.19999999999999</v>
      </c>
      <c r="K142">
        <f t="shared" si="6"/>
        <v>228.66666666666666</v>
      </c>
      <c r="L142">
        <f t="shared" si="7"/>
        <v>6860</v>
      </c>
    </row>
    <row r="143" spans="10:12" x14ac:dyDescent="0.2">
      <c r="J143">
        <f t="shared" si="8"/>
        <v>138.19999999999999</v>
      </c>
      <c r="K143">
        <f t="shared" si="6"/>
        <v>230.33333333333334</v>
      </c>
      <c r="L143">
        <f t="shared" si="7"/>
        <v>6910</v>
      </c>
    </row>
    <row r="144" spans="10:12" x14ac:dyDescent="0.2">
      <c r="J144">
        <f t="shared" si="8"/>
        <v>139.19999999999999</v>
      </c>
      <c r="K144">
        <f t="shared" si="6"/>
        <v>232</v>
      </c>
      <c r="L144">
        <f t="shared" si="7"/>
        <v>6960</v>
      </c>
    </row>
    <row r="145" spans="10:12" x14ac:dyDescent="0.2">
      <c r="J145">
        <f t="shared" si="8"/>
        <v>140.19999999999999</v>
      </c>
      <c r="K145">
        <f t="shared" si="6"/>
        <v>233.66666666666666</v>
      </c>
      <c r="L145">
        <f t="shared" si="7"/>
        <v>7010</v>
      </c>
    </row>
    <row r="146" spans="10:12" x14ac:dyDescent="0.2">
      <c r="J146">
        <f t="shared" si="8"/>
        <v>141.19999999999999</v>
      </c>
      <c r="K146">
        <f t="shared" si="6"/>
        <v>235.33333333333334</v>
      </c>
      <c r="L146">
        <f t="shared" si="7"/>
        <v>7060</v>
      </c>
    </row>
    <row r="147" spans="10:12" x14ac:dyDescent="0.2">
      <c r="J147">
        <f t="shared" si="8"/>
        <v>142.19999999999999</v>
      </c>
      <c r="K147">
        <f t="shared" si="6"/>
        <v>237</v>
      </c>
      <c r="L147">
        <f t="shared" si="7"/>
        <v>7110</v>
      </c>
    </row>
    <row r="148" spans="10:12" x14ac:dyDescent="0.2">
      <c r="J148">
        <f t="shared" si="8"/>
        <v>143.19999999999999</v>
      </c>
      <c r="K148">
        <f t="shared" si="6"/>
        <v>238.66666666666666</v>
      </c>
      <c r="L148">
        <f t="shared" si="7"/>
        <v>7160</v>
      </c>
    </row>
    <row r="149" spans="10:12" x14ac:dyDescent="0.2">
      <c r="J149">
        <f t="shared" si="8"/>
        <v>144.19999999999999</v>
      </c>
      <c r="K149">
        <f t="shared" si="6"/>
        <v>240.33333333333334</v>
      </c>
      <c r="L149">
        <f t="shared" si="7"/>
        <v>7210</v>
      </c>
    </row>
    <row r="150" spans="10:12" x14ac:dyDescent="0.2">
      <c r="J150">
        <f t="shared" si="8"/>
        <v>145.19999999999999</v>
      </c>
      <c r="K150">
        <f t="shared" si="6"/>
        <v>242</v>
      </c>
      <c r="L150">
        <f t="shared" si="7"/>
        <v>7260</v>
      </c>
    </row>
    <row r="151" spans="10:12" x14ac:dyDescent="0.2">
      <c r="J151">
        <f t="shared" si="8"/>
        <v>146.19999999999999</v>
      </c>
      <c r="K151">
        <f t="shared" si="6"/>
        <v>243.66666666666666</v>
      </c>
      <c r="L151">
        <f t="shared" si="7"/>
        <v>7310</v>
      </c>
    </row>
    <row r="152" spans="10:12" x14ac:dyDescent="0.2">
      <c r="J152">
        <f t="shared" si="8"/>
        <v>147.19999999999999</v>
      </c>
      <c r="K152">
        <f t="shared" si="6"/>
        <v>245.33333333333334</v>
      </c>
      <c r="L152">
        <f t="shared" si="7"/>
        <v>7360</v>
      </c>
    </row>
    <row r="153" spans="10:12" x14ac:dyDescent="0.2">
      <c r="J153">
        <f t="shared" si="8"/>
        <v>148.19999999999999</v>
      </c>
      <c r="K153">
        <f t="shared" si="6"/>
        <v>247</v>
      </c>
      <c r="L153">
        <f t="shared" si="7"/>
        <v>7410</v>
      </c>
    </row>
    <row r="154" spans="10:12" x14ac:dyDescent="0.2">
      <c r="J154">
        <f t="shared" si="8"/>
        <v>149.19999999999999</v>
      </c>
      <c r="K154">
        <f t="shared" si="6"/>
        <v>248.66666666666666</v>
      </c>
      <c r="L154">
        <f t="shared" si="7"/>
        <v>7460</v>
      </c>
    </row>
    <row r="155" spans="10:12" x14ac:dyDescent="0.2">
      <c r="J155">
        <f t="shared" si="8"/>
        <v>150.19999999999999</v>
      </c>
      <c r="K155">
        <f t="shared" si="6"/>
        <v>250.33333333333334</v>
      </c>
      <c r="L155">
        <f t="shared" si="7"/>
        <v>7510</v>
      </c>
    </row>
    <row r="156" spans="10:12" x14ac:dyDescent="0.2">
      <c r="J156">
        <f t="shared" si="8"/>
        <v>151.19999999999999</v>
      </c>
      <c r="K156">
        <f t="shared" si="6"/>
        <v>252</v>
      </c>
      <c r="L156">
        <f t="shared" si="7"/>
        <v>7560</v>
      </c>
    </row>
    <row r="157" spans="10:12" x14ac:dyDescent="0.2">
      <c r="J157">
        <f t="shared" si="8"/>
        <v>152.19999999999999</v>
      </c>
      <c r="K157">
        <f t="shared" si="6"/>
        <v>253.66666666666666</v>
      </c>
      <c r="L157">
        <f t="shared" si="7"/>
        <v>7610</v>
      </c>
    </row>
    <row r="158" spans="10:12" x14ac:dyDescent="0.2">
      <c r="J158">
        <f t="shared" si="8"/>
        <v>153.19999999999999</v>
      </c>
      <c r="K158">
        <f t="shared" si="6"/>
        <v>255.33333333333334</v>
      </c>
      <c r="L158">
        <f t="shared" si="7"/>
        <v>7660</v>
      </c>
    </row>
    <row r="159" spans="10:12" x14ac:dyDescent="0.2">
      <c r="J159">
        <f t="shared" si="8"/>
        <v>154.19999999999999</v>
      </c>
      <c r="K159">
        <f t="shared" si="6"/>
        <v>257</v>
      </c>
      <c r="L159">
        <f t="shared" si="7"/>
        <v>7710</v>
      </c>
    </row>
    <row r="160" spans="10:12" x14ac:dyDescent="0.2">
      <c r="J160">
        <f t="shared" si="8"/>
        <v>155.19999999999999</v>
      </c>
      <c r="K160">
        <f t="shared" si="6"/>
        <v>258.66666666666669</v>
      </c>
      <c r="L160">
        <f t="shared" si="7"/>
        <v>7760</v>
      </c>
    </row>
    <row r="161" spans="10:12" x14ac:dyDescent="0.2">
      <c r="J161">
        <f t="shared" si="8"/>
        <v>156.19999999999999</v>
      </c>
      <c r="K161">
        <f t="shared" si="6"/>
        <v>260.33333333333331</v>
      </c>
      <c r="L161">
        <f t="shared" si="7"/>
        <v>7810</v>
      </c>
    </row>
    <row r="162" spans="10:12" x14ac:dyDescent="0.2">
      <c r="J162">
        <f t="shared" si="8"/>
        <v>157.19999999999999</v>
      </c>
      <c r="K162">
        <f t="shared" si="6"/>
        <v>262</v>
      </c>
      <c r="L162">
        <f t="shared" si="7"/>
        <v>7860</v>
      </c>
    </row>
    <row r="163" spans="10:12" x14ac:dyDescent="0.2">
      <c r="J163">
        <f t="shared" si="8"/>
        <v>158.19999999999999</v>
      </c>
      <c r="K163">
        <f t="shared" si="6"/>
        <v>263.66666666666669</v>
      </c>
      <c r="L163">
        <f t="shared" si="7"/>
        <v>7910</v>
      </c>
    </row>
    <row r="164" spans="10:12" x14ac:dyDescent="0.2">
      <c r="J164">
        <f t="shared" si="8"/>
        <v>159.19999999999999</v>
      </c>
      <c r="K164">
        <f t="shared" si="6"/>
        <v>265.33333333333331</v>
      </c>
      <c r="L164">
        <f t="shared" si="7"/>
        <v>7960</v>
      </c>
    </row>
    <row r="165" spans="10:12" x14ac:dyDescent="0.2">
      <c r="J165">
        <f t="shared" si="8"/>
        <v>160.19999999999999</v>
      </c>
      <c r="K165">
        <f t="shared" si="6"/>
        <v>267</v>
      </c>
      <c r="L165">
        <f t="shared" si="7"/>
        <v>8010</v>
      </c>
    </row>
    <row r="166" spans="10:12" x14ac:dyDescent="0.2">
      <c r="J166">
        <f t="shared" si="8"/>
        <v>161.19999999999999</v>
      </c>
      <c r="K166">
        <f t="shared" si="6"/>
        <v>268.66666666666669</v>
      </c>
      <c r="L166">
        <f t="shared" si="7"/>
        <v>8060</v>
      </c>
    </row>
    <row r="167" spans="10:12" x14ac:dyDescent="0.2">
      <c r="J167">
        <f t="shared" si="8"/>
        <v>162.19999999999999</v>
      </c>
      <c r="K167">
        <f t="shared" si="6"/>
        <v>270.33333333333331</v>
      </c>
      <c r="L167">
        <f t="shared" si="7"/>
        <v>8110</v>
      </c>
    </row>
    <row r="168" spans="10:12" x14ac:dyDescent="0.2">
      <c r="J168">
        <f t="shared" si="8"/>
        <v>163.19999999999999</v>
      </c>
      <c r="K168">
        <f t="shared" si="6"/>
        <v>272</v>
      </c>
      <c r="L168">
        <f t="shared" si="7"/>
        <v>8160</v>
      </c>
    </row>
    <row r="169" spans="10:12" x14ac:dyDescent="0.2">
      <c r="J169">
        <f t="shared" si="8"/>
        <v>164.2</v>
      </c>
      <c r="K169">
        <f t="shared" si="6"/>
        <v>273.66666666666669</v>
      </c>
      <c r="L169">
        <f t="shared" si="7"/>
        <v>8210</v>
      </c>
    </row>
    <row r="170" spans="10:12" x14ac:dyDescent="0.2">
      <c r="J170">
        <f t="shared" si="8"/>
        <v>165.2</v>
      </c>
      <c r="K170">
        <f t="shared" si="6"/>
        <v>275.33333333333331</v>
      </c>
      <c r="L170">
        <f t="shared" si="7"/>
        <v>8260</v>
      </c>
    </row>
    <row r="171" spans="10:12" x14ac:dyDescent="0.2">
      <c r="J171">
        <f t="shared" si="8"/>
        <v>166.2</v>
      </c>
      <c r="K171">
        <f t="shared" si="6"/>
        <v>277</v>
      </c>
      <c r="L171">
        <f t="shared" si="7"/>
        <v>8310</v>
      </c>
    </row>
    <row r="172" spans="10:12" x14ac:dyDescent="0.2">
      <c r="J172">
        <f t="shared" si="8"/>
        <v>167.2</v>
      </c>
      <c r="K172">
        <f t="shared" si="6"/>
        <v>278.66666666666669</v>
      </c>
      <c r="L172">
        <f t="shared" si="7"/>
        <v>8360</v>
      </c>
    </row>
    <row r="173" spans="10:12" x14ac:dyDescent="0.2">
      <c r="J173">
        <f t="shared" si="8"/>
        <v>168.2</v>
      </c>
      <c r="K173">
        <f t="shared" si="6"/>
        <v>280.33333333333331</v>
      </c>
      <c r="L173">
        <f t="shared" si="7"/>
        <v>8410</v>
      </c>
    </row>
    <row r="174" spans="10:12" x14ac:dyDescent="0.2">
      <c r="J174">
        <f t="shared" si="8"/>
        <v>169.2</v>
      </c>
      <c r="K174">
        <f t="shared" si="6"/>
        <v>282</v>
      </c>
      <c r="L174">
        <f t="shared" si="7"/>
        <v>8460</v>
      </c>
    </row>
    <row r="175" spans="10:12" x14ac:dyDescent="0.2">
      <c r="J175">
        <f t="shared" si="8"/>
        <v>170.2</v>
      </c>
      <c r="K175">
        <f t="shared" si="6"/>
        <v>283.66666666666669</v>
      </c>
      <c r="L175">
        <f t="shared" si="7"/>
        <v>8510</v>
      </c>
    </row>
    <row r="176" spans="10:12" x14ac:dyDescent="0.2">
      <c r="J176">
        <f t="shared" si="8"/>
        <v>171.2</v>
      </c>
      <c r="K176">
        <f t="shared" si="6"/>
        <v>285.33333333333331</v>
      </c>
      <c r="L176">
        <f t="shared" si="7"/>
        <v>8560</v>
      </c>
    </row>
    <row r="177" spans="10:12" x14ac:dyDescent="0.2">
      <c r="J177">
        <f t="shared" si="8"/>
        <v>172.2</v>
      </c>
      <c r="K177">
        <f t="shared" si="6"/>
        <v>287</v>
      </c>
      <c r="L177">
        <f t="shared" si="7"/>
        <v>8610</v>
      </c>
    </row>
    <row r="178" spans="10:12" x14ac:dyDescent="0.2">
      <c r="J178">
        <f t="shared" si="8"/>
        <v>173.2</v>
      </c>
      <c r="K178">
        <f t="shared" si="6"/>
        <v>288.66666666666669</v>
      </c>
      <c r="L178">
        <f t="shared" si="7"/>
        <v>8660</v>
      </c>
    </row>
    <row r="179" spans="10:12" x14ac:dyDescent="0.2">
      <c r="J179">
        <f t="shared" si="8"/>
        <v>174.2</v>
      </c>
      <c r="K179">
        <f t="shared" si="6"/>
        <v>290.33333333333331</v>
      </c>
      <c r="L179">
        <f t="shared" si="7"/>
        <v>8710</v>
      </c>
    </row>
    <row r="180" spans="10:12" x14ac:dyDescent="0.2">
      <c r="J180">
        <f t="shared" si="8"/>
        <v>175.2</v>
      </c>
      <c r="K180">
        <f t="shared" si="6"/>
        <v>292</v>
      </c>
      <c r="L180">
        <f t="shared" si="7"/>
        <v>8760</v>
      </c>
    </row>
    <row r="181" spans="10:12" x14ac:dyDescent="0.2">
      <c r="J181">
        <f t="shared" si="8"/>
        <v>176.2</v>
      </c>
      <c r="K181">
        <f t="shared" si="6"/>
        <v>293.66666666666669</v>
      </c>
      <c r="L181">
        <f t="shared" si="7"/>
        <v>8810</v>
      </c>
    </row>
    <row r="182" spans="10:12" x14ac:dyDescent="0.2">
      <c r="J182">
        <f t="shared" si="8"/>
        <v>177.2</v>
      </c>
      <c r="K182">
        <f t="shared" si="6"/>
        <v>295.33333333333331</v>
      </c>
      <c r="L182">
        <f t="shared" si="7"/>
        <v>8860</v>
      </c>
    </row>
    <row r="183" spans="10:12" x14ac:dyDescent="0.2">
      <c r="J183">
        <f t="shared" si="8"/>
        <v>178.2</v>
      </c>
      <c r="K183">
        <f t="shared" si="6"/>
        <v>297</v>
      </c>
      <c r="L183">
        <f t="shared" si="7"/>
        <v>8910</v>
      </c>
    </row>
    <row r="184" spans="10:12" x14ac:dyDescent="0.2">
      <c r="J184">
        <f t="shared" si="8"/>
        <v>179.2</v>
      </c>
      <c r="K184">
        <f t="shared" si="6"/>
        <v>298.66666666666669</v>
      </c>
      <c r="L184">
        <f t="shared" si="7"/>
        <v>8960</v>
      </c>
    </row>
    <row r="185" spans="10:12" x14ac:dyDescent="0.2">
      <c r="J185">
        <f t="shared" si="8"/>
        <v>180.2</v>
      </c>
      <c r="K185">
        <f t="shared" si="6"/>
        <v>300.33333333333331</v>
      </c>
      <c r="L185">
        <f t="shared" si="7"/>
        <v>9010</v>
      </c>
    </row>
    <row r="186" spans="10:12" x14ac:dyDescent="0.2">
      <c r="J186">
        <f t="shared" si="8"/>
        <v>181.2</v>
      </c>
      <c r="K186">
        <f t="shared" si="6"/>
        <v>302</v>
      </c>
      <c r="L186">
        <f t="shared" si="7"/>
        <v>9060</v>
      </c>
    </row>
    <row r="187" spans="10:12" x14ac:dyDescent="0.2">
      <c r="J187">
        <f t="shared" si="8"/>
        <v>182.2</v>
      </c>
      <c r="K187">
        <f t="shared" si="6"/>
        <v>303.66666666666669</v>
      </c>
      <c r="L187">
        <f t="shared" si="7"/>
        <v>9110</v>
      </c>
    </row>
    <row r="188" spans="10:12" x14ac:dyDescent="0.2">
      <c r="J188">
        <f t="shared" si="8"/>
        <v>183.2</v>
      </c>
      <c r="K188">
        <f t="shared" si="6"/>
        <v>305.33333333333331</v>
      </c>
      <c r="L188">
        <f t="shared" si="7"/>
        <v>9160</v>
      </c>
    </row>
    <row r="189" spans="10:12" x14ac:dyDescent="0.2">
      <c r="J189">
        <f t="shared" si="8"/>
        <v>184.2</v>
      </c>
      <c r="K189">
        <f t="shared" si="6"/>
        <v>307</v>
      </c>
      <c r="L189">
        <f t="shared" si="7"/>
        <v>9210</v>
      </c>
    </row>
    <row r="190" spans="10:12" x14ac:dyDescent="0.2">
      <c r="J190">
        <f t="shared" si="8"/>
        <v>185.2</v>
      </c>
      <c r="K190">
        <f t="shared" si="6"/>
        <v>308.66666666666669</v>
      </c>
      <c r="L190">
        <f t="shared" si="7"/>
        <v>9260</v>
      </c>
    </row>
    <row r="191" spans="10:12" x14ac:dyDescent="0.2">
      <c r="J191">
        <f t="shared" si="8"/>
        <v>186.2</v>
      </c>
      <c r="K191">
        <f t="shared" si="6"/>
        <v>310.33333333333331</v>
      </c>
      <c r="L191">
        <f t="shared" si="7"/>
        <v>9310</v>
      </c>
    </row>
    <row r="192" spans="10:12" x14ac:dyDescent="0.2">
      <c r="J192">
        <f t="shared" si="8"/>
        <v>187.2</v>
      </c>
      <c r="K192">
        <f t="shared" si="6"/>
        <v>312</v>
      </c>
      <c r="L192">
        <f t="shared" si="7"/>
        <v>9360</v>
      </c>
    </row>
    <row r="193" spans="10:12" x14ac:dyDescent="0.2">
      <c r="J193">
        <f t="shared" si="8"/>
        <v>188.2</v>
      </c>
      <c r="K193">
        <f t="shared" si="6"/>
        <v>313.66666666666669</v>
      </c>
      <c r="L193">
        <f t="shared" si="7"/>
        <v>9410</v>
      </c>
    </row>
    <row r="194" spans="10:12" x14ac:dyDescent="0.2">
      <c r="J194">
        <f t="shared" si="8"/>
        <v>189.2</v>
      </c>
      <c r="K194">
        <f t="shared" si="6"/>
        <v>315.33333333333331</v>
      </c>
      <c r="L194">
        <f t="shared" si="7"/>
        <v>9460</v>
      </c>
    </row>
    <row r="195" spans="10:12" x14ac:dyDescent="0.2">
      <c r="J195">
        <f t="shared" si="8"/>
        <v>190.2</v>
      </c>
      <c r="K195">
        <f t="shared" si="6"/>
        <v>317</v>
      </c>
      <c r="L195">
        <f t="shared" si="7"/>
        <v>9510</v>
      </c>
    </row>
    <row r="196" spans="10:12" x14ac:dyDescent="0.2">
      <c r="J196">
        <f t="shared" si="8"/>
        <v>191.2</v>
      </c>
      <c r="K196">
        <f t="shared" si="6"/>
        <v>318.66666666666669</v>
      </c>
      <c r="L196">
        <f t="shared" si="7"/>
        <v>9560</v>
      </c>
    </row>
    <row r="197" spans="10:12" x14ac:dyDescent="0.2">
      <c r="J197">
        <f t="shared" si="8"/>
        <v>192.2</v>
      </c>
      <c r="K197">
        <f t="shared" si="6"/>
        <v>320.33333333333331</v>
      </c>
      <c r="L197">
        <f t="shared" si="7"/>
        <v>9610</v>
      </c>
    </row>
    <row r="198" spans="10:12" x14ac:dyDescent="0.2">
      <c r="J198">
        <f t="shared" si="8"/>
        <v>193.2</v>
      </c>
      <c r="K198">
        <f t="shared" ref="K198:K249" si="9">J198*D$9/D$4</f>
        <v>322</v>
      </c>
      <c r="L198">
        <f t="shared" ref="L198:L249" si="10">J198*D$9/D$3</f>
        <v>9660</v>
      </c>
    </row>
    <row r="199" spans="10:12" x14ac:dyDescent="0.2">
      <c r="J199">
        <f t="shared" ref="J199:J249" si="11">J198+1</f>
        <v>194.2</v>
      </c>
      <c r="K199">
        <f t="shared" si="9"/>
        <v>323.66666666666669</v>
      </c>
      <c r="L199">
        <f t="shared" si="10"/>
        <v>9710</v>
      </c>
    </row>
    <row r="200" spans="10:12" x14ac:dyDescent="0.2">
      <c r="J200">
        <f t="shared" si="11"/>
        <v>195.2</v>
      </c>
      <c r="K200">
        <f t="shared" si="9"/>
        <v>325.33333333333331</v>
      </c>
      <c r="L200">
        <f t="shared" si="10"/>
        <v>9760</v>
      </c>
    </row>
    <row r="201" spans="10:12" x14ac:dyDescent="0.2">
      <c r="J201">
        <f t="shared" si="11"/>
        <v>196.2</v>
      </c>
      <c r="K201">
        <f t="shared" si="9"/>
        <v>327</v>
      </c>
      <c r="L201">
        <f t="shared" si="10"/>
        <v>9810</v>
      </c>
    </row>
    <row r="202" spans="10:12" x14ac:dyDescent="0.2">
      <c r="J202">
        <f t="shared" si="11"/>
        <v>197.2</v>
      </c>
      <c r="K202">
        <f t="shared" si="9"/>
        <v>328.66666666666669</v>
      </c>
      <c r="L202">
        <f t="shared" si="10"/>
        <v>9860</v>
      </c>
    </row>
    <row r="203" spans="10:12" x14ac:dyDescent="0.2">
      <c r="J203">
        <f t="shared" si="11"/>
        <v>198.2</v>
      </c>
      <c r="K203">
        <f t="shared" si="9"/>
        <v>330.33333333333331</v>
      </c>
      <c r="L203">
        <f t="shared" si="10"/>
        <v>9910</v>
      </c>
    </row>
    <row r="204" spans="10:12" x14ac:dyDescent="0.2">
      <c r="J204">
        <f t="shared" si="11"/>
        <v>199.2</v>
      </c>
      <c r="K204">
        <f t="shared" si="9"/>
        <v>332</v>
      </c>
      <c r="L204">
        <f t="shared" si="10"/>
        <v>9960</v>
      </c>
    </row>
    <row r="205" spans="10:12" x14ac:dyDescent="0.2">
      <c r="J205">
        <f t="shared" si="11"/>
        <v>200.2</v>
      </c>
      <c r="K205">
        <f t="shared" si="9"/>
        <v>333.66666666666669</v>
      </c>
      <c r="L205">
        <f t="shared" si="10"/>
        <v>10010</v>
      </c>
    </row>
    <row r="206" spans="10:12" x14ac:dyDescent="0.2">
      <c r="J206">
        <f t="shared" si="11"/>
        <v>201.2</v>
      </c>
      <c r="K206">
        <f t="shared" si="9"/>
        <v>335.33333333333331</v>
      </c>
      <c r="L206">
        <f t="shared" si="10"/>
        <v>10060</v>
      </c>
    </row>
    <row r="207" spans="10:12" x14ac:dyDescent="0.2">
      <c r="J207">
        <f t="shared" si="11"/>
        <v>202.2</v>
      </c>
      <c r="K207">
        <f t="shared" si="9"/>
        <v>337</v>
      </c>
      <c r="L207">
        <f t="shared" si="10"/>
        <v>10110</v>
      </c>
    </row>
    <row r="208" spans="10:12" x14ac:dyDescent="0.2">
      <c r="J208">
        <f t="shared" si="11"/>
        <v>203.2</v>
      </c>
      <c r="K208">
        <f t="shared" si="9"/>
        <v>338.66666666666669</v>
      </c>
      <c r="L208">
        <f t="shared" si="10"/>
        <v>10160</v>
      </c>
    </row>
    <row r="209" spans="10:12" x14ac:dyDescent="0.2">
      <c r="J209">
        <f t="shared" si="11"/>
        <v>204.2</v>
      </c>
      <c r="K209">
        <f t="shared" si="9"/>
        <v>340.33333333333331</v>
      </c>
      <c r="L209">
        <f t="shared" si="10"/>
        <v>10210</v>
      </c>
    </row>
    <row r="210" spans="10:12" x14ac:dyDescent="0.2">
      <c r="J210">
        <f t="shared" si="11"/>
        <v>205.2</v>
      </c>
      <c r="K210">
        <f t="shared" si="9"/>
        <v>342</v>
      </c>
      <c r="L210">
        <f t="shared" si="10"/>
        <v>10260</v>
      </c>
    </row>
    <row r="211" spans="10:12" x14ac:dyDescent="0.2">
      <c r="J211">
        <f t="shared" si="11"/>
        <v>206.2</v>
      </c>
      <c r="K211">
        <f t="shared" si="9"/>
        <v>343.66666666666669</v>
      </c>
      <c r="L211">
        <f t="shared" si="10"/>
        <v>10310</v>
      </c>
    </row>
    <row r="212" spans="10:12" x14ac:dyDescent="0.2">
      <c r="J212">
        <f t="shared" si="11"/>
        <v>207.2</v>
      </c>
      <c r="K212">
        <f t="shared" si="9"/>
        <v>345.33333333333331</v>
      </c>
      <c r="L212">
        <f t="shared" si="10"/>
        <v>10360</v>
      </c>
    </row>
    <row r="213" spans="10:12" x14ac:dyDescent="0.2">
      <c r="J213">
        <f t="shared" si="11"/>
        <v>208.2</v>
      </c>
      <c r="K213">
        <f t="shared" si="9"/>
        <v>347</v>
      </c>
      <c r="L213">
        <f t="shared" si="10"/>
        <v>10410</v>
      </c>
    </row>
    <row r="214" spans="10:12" x14ac:dyDescent="0.2">
      <c r="J214">
        <f t="shared" si="11"/>
        <v>209.2</v>
      </c>
      <c r="K214">
        <f t="shared" si="9"/>
        <v>348.66666666666669</v>
      </c>
      <c r="L214">
        <f t="shared" si="10"/>
        <v>10460</v>
      </c>
    </row>
    <row r="215" spans="10:12" x14ac:dyDescent="0.2">
      <c r="J215">
        <f t="shared" si="11"/>
        <v>210.2</v>
      </c>
      <c r="K215">
        <f t="shared" si="9"/>
        <v>350.33333333333331</v>
      </c>
      <c r="L215">
        <f t="shared" si="10"/>
        <v>10510</v>
      </c>
    </row>
    <row r="216" spans="10:12" x14ac:dyDescent="0.2">
      <c r="J216">
        <f t="shared" si="11"/>
        <v>211.2</v>
      </c>
      <c r="K216">
        <f t="shared" si="9"/>
        <v>352</v>
      </c>
      <c r="L216">
        <f t="shared" si="10"/>
        <v>10560</v>
      </c>
    </row>
    <row r="217" spans="10:12" x14ac:dyDescent="0.2">
      <c r="J217">
        <f t="shared" si="11"/>
        <v>212.2</v>
      </c>
      <c r="K217">
        <f t="shared" si="9"/>
        <v>353.66666666666669</v>
      </c>
      <c r="L217">
        <f t="shared" si="10"/>
        <v>10610</v>
      </c>
    </row>
    <row r="218" spans="10:12" x14ac:dyDescent="0.2">
      <c r="J218">
        <f t="shared" si="11"/>
        <v>213.2</v>
      </c>
      <c r="K218">
        <f t="shared" si="9"/>
        <v>355.33333333333331</v>
      </c>
      <c r="L218">
        <f t="shared" si="10"/>
        <v>10660</v>
      </c>
    </row>
    <row r="219" spans="10:12" x14ac:dyDescent="0.2">
      <c r="J219">
        <f t="shared" si="11"/>
        <v>214.2</v>
      </c>
      <c r="K219">
        <f t="shared" si="9"/>
        <v>357</v>
      </c>
      <c r="L219">
        <f t="shared" si="10"/>
        <v>10710</v>
      </c>
    </row>
    <row r="220" spans="10:12" x14ac:dyDescent="0.2">
      <c r="J220">
        <f t="shared" si="11"/>
        <v>215.2</v>
      </c>
      <c r="K220">
        <f t="shared" si="9"/>
        <v>358.66666666666669</v>
      </c>
      <c r="L220">
        <f t="shared" si="10"/>
        <v>10760</v>
      </c>
    </row>
    <row r="221" spans="10:12" x14ac:dyDescent="0.2">
      <c r="J221">
        <f t="shared" si="11"/>
        <v>216.2</v>
      </c>
      <c r="K221">
        <f t="shared" si="9"/>
        <v>360.33333333333331</v>
      </c>
      <c r="L221">
        <f t="shared" si="10"/>
        <v>10810</v>
      </c>
    </row>
    <row r="222" spans="10:12" x14ac:dyDescent="0.2">
      <c r="J222">
        <f t="shared" si="11"/>
        <v>217.2</v>
      </c>
      <c r="K222">
        <f t="shared" si="9"/>
        <v>362</v>
      </c>
      <c r="L222">
        <f t="shared" si="10"/>
        <v>10860</v>
      </c>
    </row>
    <row r="223" spans="10:12" x14ac:dyDescent="0.2">
      <c r="J223">
        <f t="shared" si="11"/>
        <v>218.2</v>
      </c>
      <c r="K223">
        <f t="shared" si="9"/>
        <v>363.66666666666669</v>
      </c>
      <c r="L223">
        <f t="shared" si="10"/>
        <v>10910</v>
      </c>
    </row>
    <row r="224" spans="10:12" x14ac:dyDescent="0.2">
      <c r="J224">
        <f t="shared" si="11"/>
        <v>219.2</v>
      </c>
      <c r="K224">
        <f t="shared" si="9"/>
        <v>365.33333333333331</v>
      </c>
      <c r="L224">
        <f t="shared" si="10"/>
        <v>10960</v>
      </c>
    </row>
    <row r="225" spans="10:12" x14ac:dyDescent="0.2">
      <c r="J225">
        <f t="shared" si="11"/>
        <v>220.2</v>
      </c>
      <c r="K225">
        <f t="shared" si="9"/>
        <v>367</v>
      </c>
      <c r="L225">
        <f t="shared" si="10"/>
        <v>11010</v>
      </c>
    </row>
    <row r="226" spans="10:12" x14ac:dyDescent="0.2">
      <c r="J226">
        <f t="shared" si="11"/>
        <v>221.2</v>
      </c>
      <c r="K226">
        <f t="shared" si="9"/>
        <v>368.66666666666669</v>
      </c>
      <c r="L226">
        <f t="shared" si="10"/>
        <v>11060</v>
      </c>
    </row>
    <row r="227" spans="10:12" x14ac:dyDescent="0.2">
      <c r="J227">
        <f t="shared" si="11"/>
        <v>222.2</v>
      </c>
      <c r="K227">
        <f t="shared" si="9"/>
        <v>370.33333333333331</v>
      </c>
      <c r="L227">
        <f t="shared" si="10"/>
        <v>11110</v>
      </c>
    </row>
    <row r="228" spans="10:12" x14ac:dyDescent="0.2">
      <c r="J228">
        <f t="shared" si="11"/>
        <v>223.2</v>
      </c>
      <c r="K228">
        <f t="shared" si="9"/>
        <v>372</v>
      </c>
      <c r="L228">
        <f t="shared" si="10"/>
        <v>11160</v>
      </c>
    </row>
    <row r="229" spans="10:12" x14ac:dyDescent="0.2">
      <c r="J229">
        <f t="shared" si="11"/>
        <v>224.2</v>
      </c>
      <c r="K229">
        <f t="shared" si="9"/>
        <v>373.66666666666669</v>
      </c>
      <c r="L229">
        <f t="shared" si="10"/>
        <v>11210</v>
      </c>
    </row>
    <row r="230" spans="10:12" x14ac:dyDescent="0.2">
      <c r="J230">
        <f t="shared" si="11"/>
        <v>225.2</v>
      </c>
      <c r="K230">
        <f t="shared" si="9"/>
        <v>375.33333333333331</v>
      </c>
      <c r="L230">
        <f t="shared" si="10"/>
        <v>11260</v>
      </c>
    </row>
    <row r="231" spans="10:12" x14ac:dyDescent="0.2">
      <c r="J231">
        <f t="shared" si="11"/>
        <v>226.2</v>
      </c>
      <c r="K231">
        <f t="shared" si="9"/>
        <v>377</v>
      </c>
      <c r="L231">
        <f t="shared" si="10"/>
        <v>11310</v>
      </c>
    </row>
    <row r="232" spans="10:12" x14ac:dyDescent="0.2">
      <c r="J232">
        <f t="shared" si="11"/>
        <v>227.2</v>
      </c>
      <c r="K232">
        <f t="shared" si="9"/>
        <v>378.66666666666669</v>
      </c>
      <c r="L232">
        <f t="shared" si="10"/>
        <v>11360</v>
      </c>
    </row>
    <row r="233" spans="10:12" x14ac:dyDescent="0.2">
      <c r="J233">
        <f t="shared" si="11"/>
        <v>228.2</v>
      </c>
      <c r="K233">
        <f t="shared" si="9"/>
        <v>380.33333333333331</v>
      </c>
      <c r="L233">
        <f t="shared" si="10"/>
        <v>11410</v>
      </c>
    </row>
    <row r="234" spans="10:12" x14ac:dyDescent="0.2">
      <c r="J234">
        <f t="shared" si="11"/>
        <v>229.2</v>
      </c>
      <c r="K234">
        <f t="shared" si="9"/>
        <v>382</v>
      </c>
      <c r="L234">
        <f t="shared" si="10"/>
        <v>11460</v>
      </c>
    </row>
    <row r="235" spans="10:12" x14ac:dyDescent="0.2">
      <c r="J235">
        <f t="shared" si="11"/>
        <v>230.2</v>
      </c>
      <c r="K235">
        <f t="shared" si="9"/>
        <v>383.66666666666669</v>
      </c>
      <c r="L235">
        <f t="shared" si="10"/>
        <v>11510</v>
      </c>
    </row>
    <row r="236" spans="10:12" x14ac:dyDescent="0.2">
      <c r="J236">
        <f t="shared" si="11"/>
        <v>231.2</v>
      </c>
      <c r="K236">
        <f t="shared" si="9"/>
        <v>385.33333333333331</v>
      </c>
      <c r="L236">
        <f t="shared" si="10"/>
        <v>11560</v>
      </c>
    </row>
    <row r="237" spans="10:12" x14ac:dyDescent="0.2">
      <c r="J237">
        <f t="shared" si="11"/>
        <v>232.2</v>
      </c>
      <c r="K237">
        <f t="shared" si="9"/>
        <v>387</v>
      </c>
      <c r="L237">
        <f t="shared" si="10"/>
        <v>11610</v>
      </c>
    </row>
    <row r="238" spans="10:12" x14ac:dyDescent="0.2">
      <c r="J238">
        <f t="shared" si="11"/>
        <v>233.2</v>
      </c>
      <c r="K238">
        <f t="shared" si="9"/>
        <v>388.66666666666669</v>
      </c>
      <c r="L238">
        <f t="shared" si="10"/>
        <v>11660</v>
      </c>
    </row>
    <row r="239" spans="10:12" x14ac:dyDescent="0.2">
      <c r="J239">
        <f t="shared" si="11"/>
        <v>234.2</v>
      </c>
      <c r="K239">
        <f t="shared" si="9"/>
        <v>390.33333333333331</v>
      </c>
      <c r="L239">
        <f t="shared" si="10"/>
        <v>11710</v>
      </c>
    </row>
    <row r="240" spans="10:12" x14ac:dyDescent="0.2">
      <c r="J240">
        <f t="shared" si="11"/>
        <v>235.2</v>
      </c>
      <c r="K240">
        <f t="shared" si="9"/>
        <v>392</v>
      </c>
      <c r="L240">
        <f t="shared" si="10"/>
        <v>11760</v>
      </c>
    </row>
    <row r="241" spans="10:12" x14ac:dyDescent="0.2">
      <c r="J241">
        <f t="shared" si="11"/>
        <v>236.2</v>
      </c>
      <c r="K241">
        <f t="shared" si="9"/>
        <v>393.66666666666669</v>
      </c>
      <c r="L241">
        <f t="shared" si="10"/>
        <v>11810</v>
      </c>
    </row>
    <row r="242" spans="10:12" x14ac:dyDescent="0.2">
      <c r="J242">
        <f t="shared" si="11"/>
        <v>237.2</v>
      </c>
      <c r="K242">
        <f t="shared" si="9"/>
        <v>395.33333333333331</v>
      </c>
      <c r="L242">
        <f t="shared" si="10"/>
        <v>11860</v>
      </c>
    </row>
    <row r="243" spans="10:12" x14ac:dyDescent="0.2">
      <c r="J243">
        <f t="shared" si="11"/>
        <v>238.2</v>
      </c>
      <c r="K243">
        <f t="shared" si="9"/>
        <v>397</v>
      </c>
      <c r="L243">
        <f t="shared" si="10"/>
        <v>11910</v>
      </c>
    </row>
    <row r="244" spans="10:12" x14ac:dyDescent="0.2">
      <c r="J244">
        <f t="shared" si="11"/>
        <v>239.2</v>
      </c>
      <c r="K244">
        <f t="shared" si="9"/>
        <v>398.66666666666669</v>
      </c>
      <c r="L244">
        <f t="shared" si="10"/>
        <v>11960</v>
      </c>
    </row>
    <row r="245" spans="10:12" x14ac:dyDescent="0.2">
      <c r="J245">
        <f t="shared" si="11"/>
        <v>240.2</v>
      </c>
      <c r="K245">
        <f t="shared" si="9"/>
        <v>400.33333333333331</v>
      </c>
      <c r="L245">
        <f t="shared" si="10"/>
        <v>12010</v>
      </c>
    </row>
    <row r="246" spans="10:12" x14ac:dyDescent="0.2">
      <c r="J246">
        <f t="shared" si="11"/>
        <v>241.2</v>
      </c>
      <c r="K246">
        <f t="shared" si="9"/>
        <v>402</v>
      </c>
      <c r="L246">
        <f t="shared" si="10"/>
        <v>12060</v>
      </c>
    </row>
    <row r="247" spans="10:12" x14ac:dyDescent="0.2">
      <c r="J247">
        <f t="shared" si="11"/>
        <v>242.2</v>
      </c>
      <c r="K247">
        <f t="shared" si="9"/>
        <v>403.66666666666669</v>
      </c>
      <c r="L247">
        <f t="shared" si="10"/>
        <v>12110</v>
      </c>
    </row>
    <row r="248" spans="10:12" x14ac:dyDescent="0.2">
      <c r="J248">
        <f t="shared" si="11"/>
        <v>243.2</v>
      </c>
      <c r="K248">
        <f t="shared" si="9"/>
        <v>405.33333333333331</v>
      </c>
      <c r="L248">
        <f t="shared" si="10"/>
        <v>12160</v>
      </c>
    </row>
    <row r="249" spans="10:12" x14ac:dyDescent="0.2">
      <c r="J249">
        <f t="shared" si="11"/>
        <v>244.2</v>
      </c>
      <c r="K249">
        <f t="shared" si="9"/>
        <v>407</v>
      </c>
      <c r="L249">
        <f t="shared" si="10"/>
        <v>12210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81EE-7720-E345-8BE8-A69D2C716194}">
  <dimension ref="C2:L249"/>
  <sheetViews>
    <sheetView workbookViewId="0">
      <selection activeCell="K54" sqref="K54"/>
    </sheetView>
  </sheetViews>
  <sheetFormatPr baseColWidth="10" defaultRowHeight="16" x14ac:dyDescent="0.2"/>
  <sheetData>
    <row r="2" spans="3:12" x14ac:dyDescent="0.2">
      <c r="D2" t="s">
        <v>312</v>
      </c>
    </row>
    <row r="3" spans="3:12" x14ac:dyDescent="0.2">
      <c r="C3" t="s">
        <v>296</v>
      </c>
      <c r="D3">
        <v>1500</v>
      </c>
      <c r="J3" t="s">
        <v>311</v>
      </c>
      <c r="K3" t="s">
        <v>310</v>
      </c>
      <c r="L3" t="s">
        <v>304</v>
      </c>
    </row>
    <row r="4" spans="3:12" x14ac:dyDescent="0.2">
      <c r="C4" t="s">
        <v>297</v>
      </c>
      <c r="D4">
        <v>3000</v>
      </c>
    </row>
    <row r="5" spans="3:12" x14ac:dyDescent="0.2">
      <c r="J5">
        <f>D6</f>
        <v>15</v>
      </c>
      <c r="K5">
        <f>J5*D$9/D$4</f>
        <v>5</v>
      </c>
      <c r="L5">
        <f>J5*D$9/D$3</f>
        <v>10</v>
      </c>
    </row>
    <row r="6" spans="3:12" x14ac:dyDescent="0.2">
      <c r="C6" t="s">
        <v>305</v>
      </c>
      <c r="D6">
        <v>15</v>
      </c>
      <c r="J6">
        <f>J5+10</f>
        <v>25</v>
      </c>
      <c r="K6">
        <f t="shared" ref="K6:K69" si="0">J6*D$9/D$4</f>
        <v>8.3333333333333339</v>
      </c>
      <c r="L6">
        <f t="shared" ref="L6:L69" si="1">J6*D$9/D$3</f>
        <v>16.666666666666668</v>
      </c>
    </row>
    <row r="7" spans="3:12" x14ac:dyDescent="0.2">
      <c r="C7" t="s">
        <v>306</v>
      </c>
      <c r="D7">
        <v>500</v>
      </c>
      <c r="J7">
        <f t="shared" ref="J7:J70" si="2">J6+10</f>
        <v>35</v>
      </c>
      <c r="K7">
        <f t="shared" si="0"/>
        <v>11.666666666666666</v>
      </c>
      <c r="L7">
        <f t="shared" si="1"/>
        <v>23.333333333333332</v>
      </c>
    </row>
    <row r="8" spans="3:12" x14ac:dyDescent="0.2">
      <c r="J8">
        <f t="shared" si="2"/>
        <v>45</v>
      </c>
      <c r="K8">
        <f t="shared" si="0"/>
        <v>15</v>
      </c>
      <c r="L8">
        <f t="shared" si="1"/>
        <v>30</v>
      </c>
    </row>
    <row r="9" spans="3:12" x14ac:dyDescent="0.2">
      <c r="C9" t="s">
        <v>307</v>
      </c>
      <c r="D9">
        <v>1000</v>
      </c>
      <c r="J9">
        <f t="shared" si="2"/>
        <v>55</v>
      </c>
      <c r="K9">
        <f t="shared" si="0"/>
        <v>18.333333333333332</v>
      </c>
      <c r="L9">
        <f t="shared" si="1"/>
        <v>36.666666666666664</v>
      </c>
    </row>
    <row r="10" spans="3:12" x14ac:dyDescent="0.2">
      <c r="J10">
        <f t="shared" si="2"/>
        <v>65</v>
      </c>
      <c r="K10">
        <f t="shared" si="0"/>
        <v>21.666666666666668</v>
      </c>
      <c r="L10">
        <f t="shared" si="1"/>
        <v>43.333333333333336</v>
      </c>
    </row>
    <row r="11" spans="3:12" x14ac:dyDescent="0.2">
      <c r="C11" t="s">
        <v>308</v>
      </c>
      <c r="D11">
        <v>10</v>
      </c>
      <c r="J11">
        <f t="shared" si="2"/>
        <v>75</v>
      </c>
      <c r="K11" s="2">
        <f t="shared" si="0"/>
        <v>25</v>
      </c>
      <c r="L11" s="2">
        <f t="shared" si="1"/>
        <v>50</v>
      </c>
    </row>
    <row r="12" spans="3:12" x14ac:dyDescent="0.2">
      <c r="J12">
        <f t="shared" si="2"/>
        <v>85</v>
      </c>
      <c r="K12">
        <f t="shared" si="0"/>
        <v>28.333333333333332</v>
      </c>
      <c r="L12">
        <f t="shared" si="1"/>
        <v>56.666666666666664</v>
      </c>
    </row>
    <row r="13" spans="3:12" x14ac:dyDescent="0.2">
      <c r="J13">
        <f t="shared" si="2"/>
        <v>95</v>
      </c>
      <c r="K13">
        <f t="shared" si="0"/>
        <v>31.666666666666668</v>
      </c>
      <c r="L13">
        <f t="shared" si="1"/>
        <v>63.333333333333336</v>
      </c>
    </row>
    <row r="14" spans="3:12" x14ac:dyDescent="0.2">
      <c r="J14">
        <f t="shared" si="2"/>
        <v>105</v>
      </c>
      <c r="K14">
        <f t="shared" si="0"/>
        <v>35</v>
      </c>
      <c r="L14">
        <f t="shared" si="1"/>
        <v>70</v>
      </c>
    </row>
    <row r="15" spans="3:12" x14ac:dyDescent="0.2">
      <c r="J15">
        <f t="shared" si="2"/>
        <v>115</v>
      </c>
      <c r="K15">
        <f t="shared" si="0"/>
        <v>38.333333333333336</v>
      </c>
      <c r="L15">
        <f t="shared" si="1"/>
        <v>76.666666666666671</v>
      </c>
    </row>
    <row r="16" spans="3:12" x14ac:dyDescent="0.2">
      <c r="J16">
        <f t="shared" si="2"/>
        <v>125</v>
      </c>
      <c r="K16">
        <f t="shared" si="0"/>
        <v>41.666666666666664</v>
      </c>
      <c r="L16">
        <f t="shared" si="1"/>
        <v>83.333333333333329</v>
      </c>
    </row>
    <row r="17" spans="10:12" x14ac:dyDescent="0.2">
      <c r="J17">
        <f t="shared" si="2"/>
        <v>135</v>
      </c>
      <c r="K17">
        <f t="shared" si="0"/>
        <v>45</v>
      </c>
      <c r="L17">
        <f t="shared" si="1"/>
        <v>90</v>
      </c>
    </row>
    <row r="18" spans="10:12" x14ac:dyDescent="0.2">
      <c r="J18">
        <f t="shared" si="2"/>
        <v>145</v>
      </c>
      <c r="K18">
        <f t="shared" si="0"/>
        <v>48.333333333333336</v>
      </c>
      <c r="L18">
        <f t="shared" si="1"/>
        <v>96.666666666666671</v>
      </c>
    </row>
    <row r="19" spans="10:12" x14ac:dyDescent="0.2">
      <c r="J19">
        <f t="shared" si="2"/>
        <v>155</v>
      </c>
      <c r="K19">
        <f t="shared" si="0"/>
        <v>51.666666666666664</v>
      </c>
      <c r="L19">
        <f t="shared" si="1"/>
        <v>103.33333333333333</v>
      </c>
    </row>
    <row r="20" spans="10:12" x14ac:dyDescent="0.2">
      <c r="J20">
        <f t="shared" si="2"/>
        <v>165</v>
      </c>
      <c r="K20">
        <f t="shared" si="0"/>
        <v>55</v>
      </c>
      <c r="L20">
        <f t="shared" si="1"/>
        <v>110</v>
      </c>
    </row>
    <row r="21" spans="10:12" x14ac:dyDescent="0.2">
      <c r="J21">
        <f t="shared" si="2"/>
        <v>175</v>
      </c>
      <c r="K21">
        <f t="shared" si="0"/>
        <v>58.333333333333336</v>
      </c>
      <c r="L21">
        <f t="shared" si="1"/>
        <v>116.66666666666667</v>
      </c>
    </row>
    <row r="22" spans="10:12" x14ac:dyDescent="0.2">
      <c r="J22">
        <f t="shared" si="2"/>
        <v>185</v>
      </c>
      <c r="K22">
        <f t="shared" si="0"/>
        <v>61.666666666666664</v>
      </c>
      <c r="L22">
        <f t="shared" si="1"/>
        <v>123.33333333333333</v>
      </c>
    </row>
    <row r="23" spans="10:12" x14ac:dyDescent="0.2">
      <c r="J23">
        <f t="shared" si="2"/>
        <v>195</v>
      </c>
      <c r="K23">
        <f t="shared" si="0"/>
        <v>65</v>
      </c>
      <c r="L23">
        <f t="shared" si="1"/>
        <v>130</v>
      </c>
    </row>
    <row r="24" spans="10:12" x14ac:dyDescent="0.2">
      <c r="J24">
        <f t="shared" si="2"/>
        <v>205</v>
      </c>
      <c r="K24">
        <f t="shared" si="0"/>
        <v>68.333333333333329</v>
      </c>
      <c r="L24">
        <f t="shared" si="1"/>
        <v>136.66666666666666</v>
      </c>
    </row>
    <row r="25" spans="10:12" x14ac:dyDescent="0.2">
      <c r="J25">
        <f t="shared" si="2"/>
        <v>215</v>
      </c>
      <c r="K25">
        <f t="shared" si="0"/>
        <v>71.666666666666671</v>
      </c>
      <c r="L25">
        <f t="shared" si="1"/>
        <v>143.33333333333334</v>
      </c>
    </row>
    <row r="26" spans="10:12" x14ac:dyDescent="0.2">
      <c r="J26">
        <f t="shared" si="2"/>
        <v>225</v>
      </c>
      <c r="K26">
        <f t="shared" si="0"/>
        <v>75</v>
      </c>
      <c r="L26">
        <f t="shared" si="1"/>
        <v>150</v>
      </c>
    </row>
    <row r="27" spans="10:12" x14ac:dyDescent="0.2">
      <c r="J27">
        <f t="shared" si="2"/>
        <v>235</v>
      </c>
      <c r="K27">
        <f t="shared" si="0"/>
        <v>78.333333333333329</v>
      </c>
      <c r="L27">
        <f t="shared" si="1"/>
        <v>156.66666666666666</v>
      </c>
    </row>
    <row r="28" spans="10:12" x14ac:dyDescent="0.2">
      <c r="J28">
        <f t="shared" si="2"/>
        <v>245</v>
      </c>
      <c r="K28">
        <f t="shared" si="0"/>
        <v>81.666666666666671</v>
      </c>
      <c r="L28">
        <f t="shared" si="1"/>
        <v>163.33333333333334</v>
      </c>
    </row>
    <row r="29" spans="10:12" x14ac:dyDescent="0.2">
      <c r="J29">
        <f t="shared" si="2"/>
        <v>255</v>
      </c>
      <c r="K29">
        <f t="shared" si="0"/>
        <v>85</v>
      </c>
      <c r="L29">
        <f t="shared" si="1"/>
        <v>170</v>
      </c>
    </row>
    <row r="30" spans="10:12" x14ac:dyDescent="0.2">
      <c r="J30">
        <f t="shared" si="2"/>
        <v>265</v>
      </c>
      <c r="K30">
        <f t="shared" si="0"/>
        <v>88.333333333333329</v>
      </c>
      <c r="L30">
        <f t="shared" si="1"/>
        <v>176.66666666666666</v>
      </c>
    </row>
    <row r="31" spans="10:12" x14ac:dyDescent="0.2">
      <c r="J31">
        <f t="shared" si="2"/>
        <v>275</v>
      </c>
      <c r="K31">
        <f t="shared" si="0"/>
        <v>91.666666666666671</v>
      </c>
      <c r="L31">
        <f t="shared" si="1"/>
        <v>183.33333333333334</v>
      </c>
    </row>
    <row r="32" spans="10:12" x14ac:dyDescent="0.2">
      <c r="J32">
        <f t="shared" si="2"/>
        <v>285</v>
      </c>
      <c r="K32">
        <f t="shared" si="0"/>
        <v>95</v>
      </c>
      <c r="L32">
        <f t="shared" si="1"/>
        <v>190</v>
      </c>
    </row>
    <row r="33" spans="10:12" x14ac:dyDescent="0.2">
      <c r="J33">
        <f t="shared" si="2"/>
        <v>295</v>
      </c>
      <c r="K33">
        <f t="shared" si="0"/>
        <v>98.333333333333329</v>
      </c>
      <c r="L33">
        <f t="shared" si="1"/>
        <v>196.66666666666666</v>
      </c>
    </row>
    <row r="34" spans="10:12" x14ac:dyDescent="0.2">
      <c r="J34">
        <f t="shared" si="2"/>
        <v>305</v>
      </c>
      <c r="K34">
        <f t="shared" si="0"/>
        <v>101.66666666666667</v>
      </c>
      <c r="L34">
        <f t="shared" si="1"/>
        <v>203.33333333333334</v>
      </c>
    </row>
    <row r="35" spans="10:12" x14ac:dyDescent="0.2">
      <c r="J35">
        <f t="shared" si="2"/>
        <v>315</v>
      </c>
      <c r="K35">
        <f t="shared" si="0"/>
        <v>105</v>
      </c>
      <c r="L35">
        <f t="shared" si="1"/>
        <v>210</v>
      </c>
    </row>
    <row r="36" spans="10:12" x14ac:dyDescent="0.2">
      <c r="J36">
        <f t="shared" si="2"/>
        <v>325</v>
      </c>
      <c r="K36">
        <f t="shared" si="0"/>
        <v>108.33333333333333</v>
      </c>
      <c r="L36">
        <f t="shared" si="1"/>
        <v>216.66666666666666</v>
      </c>
    </row>
    <row r="37" spans="10:12" x14ac:dyDescent="0.2">
      <c r="J37">
        <f t="shared" si="2"/>
        <v>335</v>
      </c>
      <c r="K37">
        <f t="shared" si="0"/>
        <v>111.66666666666667</v>
      </c>
      <c r="L37">
        <f t="shared" si="1"/>
        <v>223.33333333333334</v>
      </c>
    </row>
    <row r="38" spans="10:12" x14ac:dyDescent="0.2">
      <c r="J38">
        <f t="shared" si="2"/>
        <v>345</v>
      </c>
      <c r="K38">
        <f t="shared" si="0"/>
        <v>115</v>
      </c>
      <c r="L38">
        <f t="shared" si="1"/>
        <v>230</v>
      </c>
    </row>
    <row r="39" spans="10:12" x14ac:dyDescent="0.2">
      <c r="J39">
        <f t="shared" si="2"/>
        <v>355</v>
      </c>
      <c r="K39">
        <f t="shared" si="0"/>
        <v>118.33333333333333</v>
      </c>
      <c r="L39">
        <f t="shared" si="1"/>
        <v>236.66666666666666</v>
      </c>
    </row>
    <row r="40" spans="10:12" x14ac:dyDescent="0.2">
      <c r="J40">
        <f t="shared" si="2"/>
        <v>365</v>
      </c>
      <c r="K40">
        <f t="shared" si="0"/>
        <v>121.66666666666667</v>
      </c>
      <c r="L40">
        <f t="shared" si="1"/>
        <v>243.33333333333334</v>
      </c>
    </row>
    <row r="41" spans="10:12" x14ac:dyDescent="0.2">
      <c r="J41">
        <f t="shared" si="2"/>
        <v>375</v>
      </c>
      <c r="K41">
        <f t="shared" si="0"/>
        <v>125</v>
      </c>
      <c r="L41">
        <f t="shared" si="1"/>
        <v>250</v>
      </c>
    </row>
    <row r="42" spans="10:12" x14ac:dyDescent="0.2">
      <c r="J42">
        <f t="shared" si="2"/>
        <v>385</v>
      </c>
      <c r="K42">
        <f t="shared" si="0"/>
        <v>128.33333333333334</v>
      </c>
      <c r="L42">
        <f t="shared" si="1"/>
        <v>256.66666666666669</v>
      </c>
    </row>
    <row r="43" spans="10:12" x14ac:dyDescent="0.2">
      <c r="J43">
        <f t="shared" si="2"/>
        <v>395</v>
      </c>
      <c r="K43">
        <f t="shared" si="0"/>
        <v>131.66666666666666</v>
      </c>
      <c r="L43">
        <f t="shared" si="1"/>
        <v>263.33333333333331</v>
      </c>
    </row>
    <row r="44" spans="10:12" x14ac:dyDescent="0.2">
      <c r="J44">
        <f t="shared" si="2"/>
        <v>405</v>
      </c>
      <c r="K44">
        <f t="shared" si="0"/>
        <v>135</v>
      </c>
      <c r="L44">
        <f t="shared" si="1"/>
        <v>270</v>
      </c>
    </row>
    <row r="45" spans="10:12" x14ac:dyDescent="0.2">
      <c r="J45">
        <f t="shared" si="2"/>
        <v>415</v>
      </c>
      <c r="K45">
        <f t="shared" si="0"/>
        <v>138.33333333333334</v>
      </c>
      <c r="L45">
        <f t="shared" si="1"/>
        <v>276.66666666666669</v>
      </c>
    </row>
    <row r="46" spans="10:12" x14ac:dyDescent="0.2">
      <c r="J46">
        <f t="shared" si="2"/>
        <v>425</v>
      </c>
      <c r="K46">
        <f t="shared" si="0"/>
        <v>141.66666666666666</v>
      </c>
      <c r="L46">
        <f t="shared" si="1"/>
        <v>283.33333333333331</v>
      </c>
    </row>
    <row r="47" spans="10:12" x14ac:dyDescent="0.2">
      <c r="J47">
        <f t="shared" si="2"/>
        <v>435</v>
      </c>
      <c r="K47">
        <f t="shared" si="0"/>
        <v>145</v>
      </c>
      <c r="L47">
        <f t="shared" si="1"/>
        <v>290</v>
      </c>
    </row>
    <row r="48" spans="10:12" x14ac:dyDescent="0.2">
      <c r="J48">
        <f t="shared" si="2"/>
        <v>445</v>
      </c>
      <c r="K48">
        <f t="shared" si="0"/>
        <v>148.33333333333334</v>
      </c>
      <c r="L48">
        <f t="shared" si="1"/>
        <v>296.66666666666669</v>
      </c>
    </row>
    <row r="49" spans="10:12" x14ac:dyDescent="0.2">
      <c r="J49">
        <f t="shared" si="2"/>
        <v>455</v>
      </c>
      <c r="K49">
        <f t="shared" si="0"/>
        <v>151.66666666666666</v>
      </c>
      <c r="L49">
        <f t="shared" si="1"/>
        <v>303.33333333333331</v>
      </c>
    </row>
    <row r="50" spans="10:12" x14ac:dyDescent="0.2">
      <c r="J50">
        <f t="shared" si="2"/>
        <v>465</v>
      </c>
      <c r="K50">
        <f t="shared" si="0"/>
        <v>155</v>
      </c>
      <c r="L50">
        <f t="shared" si="1"/>
        <v>310</v>
      </c>
    </row>
    <row r="51" spans="10:12" x14ac:dyDescent="0.2">
      <c r="J51">
        <f t="shared" si="2"/>
        <v>475</v>
      </c>
      <c r="K51">
        <f t="shared" si="0"/>
        <v>158.33333333333334</v>
      </c>
      <c r="L51">
        <f t="shared" si="1"/>
        <v>316.66666666666669</v>
      </c>
    </row>
    <row r="52" spans="10:12" x14ac:dyDescent="0.2">
      <c r="J52">
        <f t="shared" si="2"/>
        <v>485</v>
      </c>
      <c r="K52">
        <f t="shared" si="0"/>
        <v>161.66666666666666</v>
      </c>
      <c r="L52">
        <f t="shared" si="1"/>
        <v>323.33333333333331</v>
      </c>
    </row>
    <row r="53" spans="10:12" x14ac:dyDescent="0.2">
      <c r="J53">
        <f t="shared" si="2"/>
        <v>495</v>
      </c>
      <c r="K53">
        <f t="shared" si="0"/>
        <v>165</v>
      </c>
      <c r="L53">
        <f t="shared" si="1"/>
        <v>330</v>
      </c>
    </row>
    <row r="54" spans="10:12" x14ac:dyDescent="0.2">
      <c r="J54">
        <f t="shared" si="2"/>
        <v>505</v>
      </c>
      <c r="K54">
        <f t="shared" si="0"/>
        <v>168.33333333333334</v>
      </c>
      <c r="L54">
        <f t="shared" si="1"/>
        <v>336.66666666666669</v>
      </c>
    </row>
    <row r="55" spans="10:12" x14ac:dyDescent="0.2">
      <c r="J55" t="s">
        <v>285</v>
      </c>
      <c r="K55" t="s">
        <v>313</v>
      </c>
      <c r="L55" t="s">
        <v>285</v>
      </c>
    </row>
    <row r="56" spans="10:12" x14ac:dyDescent="0.2">
      <c r="J56" t="e">
        <f t="shared" si="2"/>
        <v>#VALUE!</v>
      </c>
      <c r="K56" t="e">
        <f t="shared" si="0"/>
        <v>#VALUE!</v>
      </c>
      <c r="L56" t="e">
        <f t="shared" si="1"/>
        <v>#VALUE!</v>
      </c>
    </row>
    <row r="57" spans="10:12" x14ac:dyDescent="0.2">
      <c r="J57" t="e">
        <f t="shared" si="2"/>
        <v>#VALUE!</v>
      </c>
      <c r="K57" t="e">
        <f t="shared" si="0"/>
        <v>#VALUE!</v>
      </c>
      <c r="L57" t="e">
        <f t="shared" si="1"/>
        <v>#VALUE!</v>
      </c>
    </row>
    <row r="58" spans="10:12" x14ac:dyDescent="0.2">
      <c r="J58" t="e">
        <f t="shared" si="2"/>
        <v>#VALUE!</v>
      </c>
      <c r="K58" t="e">
        <f t="shared" si="0"/>
        <v>#VALUE!</v>
      </c>
      <c r="L58" t="e">
        <f t="shared" si="1"/>
        <v>#VALUE!</v>
      </c>
    </row>
    <row r="59" spans="10:12" x14ac:dyDescent="0.2">
      <c r="J59" t="e">
        <f t="shared" si="2"/>
        <v>#VALUE!</v>
      </c>
      <c r="K59" t="e">
        <f t="shared" si="0"/>
        <v>#VALUE!</v>
      </c>
      <c r="L59" t="e">
        <f t="shared" si="1"/>
        <v>#VALUE!</v>
      </c>
    </row>
    <row r="60" spans="10:12" x14ac:dyDescent="0.2">
      <c r="J60" t="e">
        <f t="shared" si="2"/>
        <v>#VALUE!</v>
      </c>
      <c r="K60" t="e">
        <f t="shared" si="0"/>
        <v>#VALUE!</v>
      </c>
      <c r="L60" t="e">
        <f t="shared" si="1"/>
        <v>#VALUE!</v>
      </c>
    </row>
    <row r="61" spans="10:12" x14ac:dyDescent="0.2">
      <c r="J61" t="e">
        <f t="shared" si="2"/>
        <v>#VALUE!</v>
      </c>
      <c r="K61" t="e">
        <f t="shared" si="0"/>
        <v>#VALUE!</v>
      </c>
      <c r="L61" t="e">
        <f t="shared" si="1"/>
        <v>#VALUE!</v>
      </c>
    </row>
    <row r="62" spans="10:12" x14ac:dyDescent="0.2">
      <c r="J62" t="e">
        <f t="shared" si="2"/>
        <v>#VALUE!</v>
      </c>
      <c r="K62" t="e">
        <f t="shared" si="0"/>
        <v>#VALUE!</v>
      </c>
      <c r="L62" t="e">
        <f t="shared" si="1"/>
        <v>#VALUE!</v>
      </c>
    </row>
    <row r="63" spans="10:12" x14ac:dyDescent="0.2">
      <c r="J63" t="e">
        <f t="shared" si="2"/>
        <v>#VALUE!</v>
      </c>
      <c r="K63" t="e">
        <f t="shared" si="0"/>
        <v>#VALUE!</v>
      </c>
      <c r="L63" t="e">
        <f t="shared" si="1"/>
        <v>#VALUE!</v>
      </c>
    </row>
    <row r="64" spans="10:12" x14ac:dyDescent="0.2">
      <c r="J64" t="e">
        <f t="shared" si="2"/>
        <v>#VALUE!</v>
      </c>
      <c r="K64" t="e">
        <f t="shared" si="0"/>
        <v>#VALUE!</v>
      </c>
      <c r="L64" t="e">
        <f t="shared" si="1"/>
        <v>#VALUE!</v>
      </c>
    </row>
    <row r="65" spans="10:12" x14ac:dyDescent="0.2">
      <c r="J65" t="e">
        <f t="shared" si="2"/>
        <v>#VALUE!</v>
      </c>
      <c r="K65" t="e">
        <f t="shared" si="0"/>
        <v>#VALUE!</v>
      </c>
      <c r="L65" t="e">
        <f t="shared" si="1"/>
        <v>#VALUE!</v>
      </c>
    </row>
    <row r="66" spans="10:12" x14ac:dyDescent="0.2">
      <c r="J66" t="e">
        <f t="shared" si="2"/>
        <v>#VALUE!</v>
      </c>
      <c r="K66" t="e">
        <f t="shared" si="0"/>
        <v>#VALUE!</v>
      </c>
      <c r="L66" t="e">
        <f t="shared" si="1"/>
        <v>#VALUE!</v>
      </c>
    </row>
    <row r="67" spans="10:12" x14ac:dyDescent="0.2">
      <c r="J67" t="e">
        <f t="shared" si="2"/>
        <v>#VALUE!</v>
      </c>
      <c r="K67" t="e">
        <f t="shared" si="0"/>
        <v>#VALUE!</v>
      </c>
      <c r="L67" t="e">
        <f t="shared" si="1"/>
        <v>#VALUE!</v>
      </c>
    </row>
    <row r="68" spans="10:12" x14ac:dyDescent="0.2">
      <c r="J68" t="e">
        <f t="shared" si="2"/>
        <v>#VALUE!</v>
      </c>
      <c r="K68" t="e">
        <f t="shared" si="0"/>
        <v>#VALUE!</v>
      </c>
      <c r="L68" t="e">
        <f t="shared" si="1"/>
        <v>#VALUE!</v>
      </c>
    </row>
    <row r="69" spans="10:12" x14ac:dyDescent="0.2">
      <c r="J69" t="e">
        <f t="shared" si="2"/>
        <v>#VALUE!</v>
      </c>
      <c r="K69" t="e">
        <f t="shared" si="0"/>
        <v>#VALUE!</v>
      </c>
      <c r="L69" t="e">
        <f t="shared" si="1"/>
        <v>#VALUE!</v>
      </c>
    </row>
    <row r="70" spans="10:12" x14ac:dyDescent="0.2">
      <c r="J70" t="e">
        <f t="shared" si="2"/>
        <v>#VALUE!</v>
      </c>
      <c r="K70" t="e">
        <f t="shared" ref="K70:K133" si="3">J70*D$9/D$4</f>
        <v>#VALUE!</v>
      </c>
      <c r="L70" t="e">
        <f t="shared" ref="L70:L133" si="4">J70*D$9/D$3</f>
        <v>#VALUE!</v>
      </c>
    </row>
    <row r="71" spans="10:12" x14ac:dyDescent="0.2">
      <c r="J71" t="e">
        <f t="shared" ref="J71:J134" si="5">J70+10</f>
        <v>#VALUE!</v>
      </c>
      <c r="K71" t="e">
        <f t="shared" si="3"/>
        <v>#VALUE!</v>
      </c>
      <c r="L71" t="e">
        <f t="shared" si="4"/>
        <v>#VALUE!</v>
      </c>
    </row>
    <row r="72" spans="10:12" x14ac:dyDescent="0.2">
      <c r="J72" t="e">
        <f t="shared" si="5"/>
        <v>#VALUE!</v>
      </c>
      <c r="K72" t="e">
        <f t="shared" si="3"/>
        <v>#VALUE!</v>
      </c>
      <c r="L72" t="e">
        <f t="shared" si="4"/>
        <v>#VALUE!</v>
      </c>
    </row>
    <row r="73" spans="10:12" x14ac:dyDescent="0.2">
      <c r="J73" t="e">
        <f t="shared" si="5"/>
        <v>#VALUE!</v>
      </c>
      <c r="K73" t="e">
        <f t="shared" si="3"/>
        <v>#VALUE!</v>
      </c>
      <c r="L73" t="e">
        <f t="shared" si="4"/>
        <v>#VALUE!</v>
      </c>
    </row>
    <row r="74" spans="10:12" x14ac:dyDescent="0.2">
      <c r="J74" t="e">
        <f t="shared" si="5"/>
        <v>#VALUE!</v>
      </c>
      <c r="K74" t="e">
        <f t="shared" si="3"/>
        <v>#VALUE!</v>
      </c>
      <c r="L74" t="e">
        <f t="shared" si="4"/>
        <v>#VALUE!</v>
      </c>
    </row>
    <row r="75" spans="10:12" x14ac:dyDescent="0.2">
      <c r="J75" t="e">
        <f t="shared" si="5"/>
        <v>#VALUE!</v>
      </c>
      <c r="K75" t="e">
        <f t="shared" si="3"/>
        <v>#VALUE!</v>
      </c>
      <c r="L75" t="e">
        <f t="shared" si="4"/>
        <v>#VALUE!</v>
      </c>
    </row>
    <row r="76" spans="10:12" x14ac:dyDescent="0.2">
      <c r="J76" t="e">
        <f t="shared" si="5"/>
        <v>#VALUE!</v>
      </c>
      <c r="K76" t="e">
        <f t="shared" si="3"/>
        <v>#VALUE!</v>
      </c>
      <c r="L76" t="e">
        <f t="shared" si="4"/>
        <v>#VALUE!</v>
      </c>
    </row>
    <row r="77" spans="10:12" x14ac:dyDescent="0.2">
      <c r="J77" t="e">
        <f t="shared" si="5"/>
        <v>#VALUE!</v>
      </c>
      <c r="K77" t="e">
        <f t="shared" si="3"/>
        <v>#VALUE!</v>
      </c>
      <c r="L77" t="e">
        <f t="shared" si="4"/>
        <v>#VALUE!</v>
      </c>
    </row>
    <row r="78" spans="10:12" x14ac:dyDescent="0.2">
      <c r="J78" t="e">
        <f t="shared" si="5"/>
        <v>#VALUE!</v>
      </c>
      <c r="K78" t="e">
        <f t="shared" si="3"/>
        <v>#VALUE!</v>
      </c>
      <c r="L78" t="e">
        <f t="shared" si="4"/>
        <v>#VALUE!</v>
      </c>
    </row>
    <row r="79" spans="10:12" x14ac:dyDescent="0.2">
      <c r="J79" t="e">
        <f t="shared" si="5"/>
        <v>#VALUE!</v>
      </c>
      <c r="K79" t="e">
        <f t="shared" si="3"/>
        <v>#VALUE!</v>
      </c>
      <c r="L79" t="e">
        <f t="shared" si="4"/>
        <v>#VALUE!</v>
      </c>
    </row>
    <row r="80" spans="10:12" x14ac:dyDescent="0.2">
      <c r="J80" t="e">
        <f t="shared" si="5"/>
        <v>#VALUE!</v>
      </c>
      <c r="K80" t="e">
        <f t="shared" si="3"/>
        <v>#VALUE!</v>
      </c>
      <c r="L80" t="e">
        <f t="shared" si="4"/>
        <v>#VALUE!</v>
      </c>
    </row>
    <row r="81" spans="10:12" x14ac:dyDescent="0.2">
      <c r="J81" t="e">
        <f t="shared" si="5"/>
        <v>#VALUE!</v>
      </c>
      <c r="K81" t="e">
        <f t="shared" si="3"/>
        <v>#VALUE!</v>
      </c>
      <c r="L81" t="e">
        <f t="shared" si="4"/>
        <v>#VALUE!</v>
      </c>
    </row>
    <row r="82" spans="10:12" x14ac:dyDescent="0.2">
      <c r="J82" t="e">
        <f t="shared" si="5"/>
        <v>#VALUE!</v>
      </c>
      <c r="K82" t="e">
        <f t="shared" si="3"/>
        <v>#VALUE!</v>
      </c>
      <c r="L82" t="e">
        <f t="shared" si="4"/>
        <v>#VALUE!</v>
      </c>
    </row>
    <row r="83" spans="10:12" x14ac:dyDescent="0.2">
      <c r="J83" t="e">
        <f t="shared" si="5"/>
        <v>#VALUE!</v>
      </c>
      <c r="K83" t="e">
        <f t="shared" si="3"/>
        <v>#VALUE!</v>
      </c>
      <c r="L83" t="e">
        <f t="shared" si="4"/>
        <v>#VALUE!</v>
      </c>
    </row>
    <row r="84" spans="10:12" x14ac:dyDescent="0.2">
      <c r="J84" t="e">
        <f t="shared" si="5"/>
        <v>#VALUE!</v>
      </c>
      <c r="K84" t="e">
        <f t="shared" si="3"/>
        <v>#VALUE!</v>
      </c>
      <c r="L84" t="e">
        <f t="shared" si="4"/>
        <v>#VALUE!</v>
      </c>
    </row>
    <row r="85" spans="10:12" x14ac:dyDescent="0.2">
      <c r="J85" t="e">
        <f t="shared" si="5"/>
        <v>#VALUE!</v>
      </c>
      <c r="K85" t="e">
        <f t="shared" si="3"/>
        <v>#VALUE!</v>
      </c>
      <c r="L85" t="e">
        <f t="shared" si="4"/>
        <v>#VALUE!</v>
      </c>
    </row>
    <row r="86" spans="10:12" x14ac:dyDescent="0.2">
      <c r="J86" t="e">
        <f t="shared" si="5"/>
        <v>#VALUE!</v>
      </c>
      <c r="K86" t="e">
        <f t="shared" si="3"/>
        <v>#VALUE!</v>
      </c>
      <c r="L86" t="e">
        <f t="shared" si="4"/>
        <v>#VALUE!</v>
      </c>
    </row>
    <row r="87" spans="10:12" x14ac:dyDescent="0.2">
      <c r="J87" t="e">
        <f t="shared" si="5"/>
        <v>#VALUE!</v>
      </c>
      <c r="K87" t="e">
        <f t="shared" si="3"/>
        <v>#VALUE!</v>
      </c>
      <c r="L87" t="e">
        <f t="shared" si="4"/>
        <v>#VALUE!</v>
      </c>
    </row>
    <row r="88" spans="10:12" x14ac:dyDescent="0.2">
      <c r="J88" t="e">
        <f t="shared" si="5"/>
        <v>#VALUE!</v>
      </c>
      <c r="K88" t="e">
        <f t="shared" si="3"/>
        <v>#VALUE!</v>
      </c>
      <c r="L88" t="e">
        <f t="shared" si="4"/>
        <v>#VALUE!</v>
      </c>
    </row>
    <row r="89" spans="10:12" x14ac:dyDescent="0.2">
      <c r="J89" t="e">
        <f t="shared" si="5"/>
        <v>#VALUE!</v>
      </c>
      <c r="K89" t="e">
        <f t="shared" si="3"/>
        <v>#VALUE!</v>
      </c>
      <c r="L89" t="e">
        <f t="shared" si="4"/>
        <v>#VALUE!</v>
      </c>
    </row>
    <row r="90" spans="10:12" x14ac:dyDescent="0.2">
      <c r="J90" t="e">
        <f t="shared" si="5"/>
        <v>#VALUE!</v>
      </c>
      <c r="K90" t="e">
        <f t="shared" si="3"/>
        <v>#VALUE!</v>
      </c>
      <c r="L90" t="e">
        <f t="shared" si="4"/>
        <v>#VALUE!</v>
      </c>
    </row>
    <row r="91" spans="10:12" x14ac:dyDescent="0.2">
      <c r="J91" t="e">
        <f t="shared" si="5"/>
        <v>#VALUE!</v>
      </c>
      <c r="K91" t="e">
        <f t="shared" si="3"/>
        <v>#VALUE!</v>
      </c>
      <c r="L91" t="e">
        <f t="shared" si="4"/>
        <v>#VALUE!</v>
      </c>
    </row>
    <row r="92" spans="10:12" x14ac:dyDescent="0.2">
      <c r="J92" t="e">
        <f t="shared" si="5"/>
        <v>#VALUE!</v>
      </c>
      <c r="K92" t="e">
        <f t="shared" si="3"/>
        <v>#VALUE!</v>
      </c>
      <c r="L92" t="e">
        <f t="shared" si="4"/>
        <v>#VALUE!</v>
      </c>
    </row>
    <row r="93" spans="10:12" x14ac:dyDescent="0.2">
      <c r="J93" t="e">
        <f t="shared" si="5"/>
        <v>#VALUE!</v>
      </c>
      <c r="K93" t="e">
        <f t="shared" si="3"/>
        <v>#VALUE!</v>
      </c>
      <c r="L93" t="e">
        <f t="shared" si="4"/>
        <v>#VALUE!</v>
      </c>
    </row>
    <row r="94" spans="10:12" x14ac:dyDescent="0.2">
      <c r="J94" t="e">
        <f t="shared" si="5"/>
        <v>#VALUE!</v>
      </c>
      <c r="K94" t="e">
        <f t="shared" si="3"/>
        <v>#VALUE!</v>
      </c>
      <c r="L94" t="e">
        <f t="shared" si="4"/>
        <v>#VALUE!</v>
      </c>
    </row>
    <row r="95" spans="10:12" x14ac:dyDescent="0.2">
      <c r="J95" t="e">
        <f t="shared" si="5"/>
        <v>#VALUE!</v>
      </c>
      <c r="K95" t="e">
        <f t="shared" si="3"/>
        <v>#VALUE!</v>
      </c>
      <c r="L95" t="e">
        <f t="shared" si="4"/>
        <v>#VALUE!</v>
      </c>
    </row>
    <row r="96" spans="10:12" x14ac:dyDescent="0.2">
      <c r="J96" t="e">
        <f t="shared" si="5"/>
        <v>#VALUE!</v>
      </c>
      <c r="K96" t="e">
        <f t="shared" si="3"/>
        <v>#VALUE!</v>
      </c>
      <c r="L96" t="e">
        <f t="shared" si="4"/>
        <v>#VALUE!</v>
      </c>
    </row>
    <row r="97" spans="10:12" x14ac:dyDescent="0.2">
      <c r="J97" t="e">
        <f t="shared" si="5"/>
        <v>#VALUE!</v>
      </c>
      <c r="K97" t="e">
        <f t="shared" si="3"/>
        <v>#VALUE!</v>
      </c>
      <c r="L97" t="e">
        <f t="shared" si="4"/>
        <v>#VALUE!</v>
      </c>
    </row>
    <row r="98" spans="10:12" x14ac:dyDescent="0.2">
      <c r="J98" t="e">
        <f t="shared" si="5"/>
        <v>#VALUE!</v>
      </c>
      <c r="K98" t="e">
        <f t="shared" si="3"/>
        <v>#VALUE!</v>
      </c>
      <c r="L98" t="e">
        <f t="shared" si="4"/>
        <v>#VALUE!</v>
      </c>
    </row>
    <row r="99" spans="10:12" x14ac:dyDescent="0.2">
      <c r="J99" t="e">
        <f t="shared" si="5"/>
        <v>#VALUE!</v>
      </c>
      <c r="K99" t="e">
        <f t="shared" si="3"/>
        <v>#VALUE!</v>
      </c>
      <c r="L99" t="e">
        <f t="shared" si="4"/>
        <v>#VALUE!</v>
      </c>
    </row>
    <row r="100" spans="10:12" x14ac:dyDescent="0.2">
      <c r="J100" t="e">
        <f t="shared" si="5"/>
        <v>#VALUE!</v>
      </c>
      <c r="K100" t="e">
        <f t="shared" si="3"/>
        <v>#VALUE!</v>
      </c>
      <c r="L100" t="e">
        <f t="shared" si="4"/>
        <v>#VALUE!</v>
      </c>
    </row>
    <row r="101" spans="10:12" x14ac:dyDescent="0.2">
      <c r="J101" t="e">
        <f t="shared" si="5"/>
        <v>#VALUE!</v>
      </c>
      <c r="K101" t="e">
        <f t="shared" si="3"/>
        <v>#VALUE!</v>
      </c>
      <c r="L101" t="e">
        <f t="shared" si="4"/>
        <v>#VALUE!</v>
      </c>
    </row>
    <row r="102" spans="10:12" x14ac:dyDescent="0.2">
      <c r="J102" t="e">
        <f t="shared" si="5"/>
        <v>#VALUE!</v>
      </c>
      <c r="K102" t="e">
        <f t="shared" si="3"/>
        <v>#VALUE!</v>
      </c>
      <c r="L102" t="e">
        <f t="shared" si="4"/>
        <v>#VALUE!</v>
      </c>
    </row>
    <row r="103" spans="10:12" x14ac:dyDescent="0.2">
      <c r="J103" t="e">
        <f t="shared" si="5"/>
        <v>#VALUE!</v>
      </c>
      <c r="K103" t="e">
        <f t="shared" si="3"/>
        <v>#VALUE!</v>
      </c>
      <c r="L103" t="e">
        <f t="shared" si="4"/>
        <v>#VALUE!</v>
      </c>
    </row>
    <row r="104" spans="10:12" x14ac:dyDescent="0.2">
      <c r="J104" t="e">
        <f t="shared" si="5"/>
        <v>#VALUE!</v>
      </c>
      <c r="K104" t="e">
        <f t="shared" si="3"/>
        <v>#VALUE!</v>
      </c>
      <c r="L104" t="e">
        <f t="shared" si="4"/>
        <v>#VALUE!</v>
      </c>
    </row>
    <row r="105" spans="10:12" x14ac:dyDescent="0.2">
      <c r="J105" t="e">
        <f t="shared" si="5"/>
        <v>#VALUE!</v>
      </c>
      <c r="K105" t="e">
        <f t="shared" si="3"/>
        <v>#VALUE!</v>
      </c>
      <c r="L105" t="e">
        <f t="shared" si="4"/>
        <v>#VALUE!</v>
      </c>
    </row>
    <row r="106" spans="10:12" x14ac:dyDescent="0.2">
      <c r="J106" t="e">
        <f t="shared" si="5"/>
        <v>#VALUE!</v>
      </c>
      <c r="K106" t="e">
        <f t="shared" si="3"/>
        <v>#VALUE!</v>
      </c>
      <c r="L106" t="e">
        <f t="shared" si="4"/>
        <v>#VALUE!</v>
      </c>
    </row>
    <row r="107" spans="10:12" x14ac:dyDescent="0.2">
      <c r="J107" t="e">
        <f t="shared" si="5"/>
        <v>#VALUE!</v>
      </c>
      <c r="K107" t="e">
        <f t="shared" si="3"/>
        <v>#VALUE!</v>
      </c>
      <c r="L107" t="e">
        <f t="shared" si="4"/>
        <v>#VALUE!</v>
      </c>
    </row>
    <row r="108" spans="10:12" x14ac:dyDescent="0.2">
      <c r="J108" t="e">
        <f t="shared" si="5"/>
        <v>#VALUE!</v>
      </c>
      <c r="K108" t="e">
        <f t="shared" si="3"/>
        <v>#VALUE!</v>
      </c>
      <c r="L108" t="e">
        <f t="shared" si="4"/>
        <v>#VALUE!</v>
      </c>
    </row>
    <row r="109" spans="10:12" x14ac:dyDescent="0.2">
      <c r="J109" t="e">
        <f t="shared" si="5"/>
        <v>#VALUE!</v>
      </c>
      <c r="K109" t="e">
        <f t="shared" si="3"/>
        <v>#VALUE!</v>
      </c>
      <c r="L109" t="e">
        <f t="shared" si="4"/>
        <v>#VALUE!</v>
      </c>
    </row>
    <row r="110" spans="10:12" x14ac:dyDescent="0.2">
      <c r="J110" t="e">
        <f t="shared" si="5"/>
        <v>#VALUE!</v>
      </c>
      <c r="K110" t="e">
        <f t="shared" si="3"/>
        <v>#VALUE!</v>
      </c>
      <c r="L110" t="e">
        <f t="shared" si="4"/>
        <v>#VALUE!</v>
      </c>
    </row>
    <row r="111" spans="10:12" x14ac:dyDescent="0.2">
      <c r="J111" t="e">
        <f t="shared" si="5"/>
        <v>#VALUE!</v>
      </c>
      <c r="K111" t="e">
        <f t="shared" si="3"/>
        <v>#VALUE!</v>
      </c>
      <c r="L111" t="e">
        <f t="shared" si="4"/>
        <v>#VALUE!</v>
      </c>
    </row>
    <row r="112" spans="10:12" x14ac:dyDescent="0.2">
      <c r="J112" t="e">
        <f t="shared" si="5"/>
        <v>#VALUE!</v>
      </c>
      <c r="K112" t="e">
        <f t="shared" si="3"/>
        <v>#VALUE!</v>
      </c>
      <c r="L112" t="e">
        <f t="shared" si="4"/>
        <v>#VALUE!</v>
      </c>
    </row>
    <row r="113" spans="10:12" x14ac:dyDescent="0.2">
      <c r="J113" t="e">
        <f t="shared" si="5"/>
        <v>#VALUE!</v>
      </c>
      <c r="K113" t="e">
        <f t="shared" si="3"/>
        <v>#VALUE!</v>
      </c>
      <c r="L113" t="e">
        <f t="shared" si="4"/>
        <v>#VALUE!</v>
      </c>
    </row>
    <row r="114" spans="10:12" x14ac:dyDescent="0.2">
      <c r="J114" t="e">
        <f t="shared" si="5"/>
        <v>#VALUE!</v>
      </c>
      <c r="K114" t="e">
        <f t="shared" si="3"/>
        <v>#VALUE!</v>
      </c>
      <c r="L114" t="e">
        <f t="shared" si="4"/>
        <v>#VALUE!</v>
      </c>
    </row>
    <row r="115" spans="10:12" x14ac:dyDescent="0.2">
      <c r="J115" t="e">
        <f t="shared" si="5"/>
        <v>#VALUE!</v>
      </c>
      <c r="K115" t="e">
        <f t="shared" si="3"/>
        <v>#VALUE!</v>
      </c>
      <c r="L115" t="e">
        <f t="shared" si="4"/>
        <v>#VALUE!</v>
      </c>
    </row>
    <row r="116" spans="10:12" x14ac:dyDescent="0.2">
      <c r="J116" t="e">
        <f t="shared" si="5"/>
        <v>#VALUE!</v>
      </c>
      <c r="K116" t="e">
        <f t="shared" si="3"/>
        <v>#VALUE!</v>
      </c>
      <c r="L116" t="e">
        <f t="shared" si="4"/>
        <v>#VALUE!</v>
      </c>
    </row>
    <row r="117" spans="10:12" x14ac:dyDescent="0.2">
      <c r="J117" t="e">
        <f t="shared" si="5"/>
        <v>#VALUE!</v>
      </c>
      <c r="K117" t="e">
        <f t="shared" si="3"/>
        <v>#VALUE!</v>
      </c>
      <c r="L117" t="e">
        <f t="shared" si="4"/>
        <v>#VALUE!</v>
      </c>
    </row>
    <row r="118" spans="10:12" x14ac:dyDescent="0.2">
      <c r="J118" t="e">
        <f t="shared" si="5"/>
        <v>#VALUE!</v>
      </c>
      <c r="K118" t="e">
        <f t="shared" si="3"/>
        <v>#VALUE!</v>
      </c>
      <c r="L118" t="e">
        <f t="shared" si="4"/>
        <v>#VALUE!</v>
      </c>
    </row>
    <row r="119" spans="10:12" x14ac:dyDescent="0.2">
      <c r="J119" t="e">
        <f t="shared" si="5"/>
        <v>#VALUE!</v>
      </c>
      <c r="K119" t="e">
        <f t="shared" si="3"/>
        <v>#VALUE!</v>
      </c>
      <c r="L119" t="e">
        <f t="shared" si="4"/>
        <v>#VALUE!</v>
      </c>
    </row>
    <row r="120" spans="10:12" x14ac:dyDescent="0.2">
      <c r="J120" t="e">
        <f t="shared" si="5"/>
        <v>#VALUE!</v>
      </c>
      <c r="K120" t="e">
        <f t="shared" si="3"/>
        <v>#VALUE!</v>
      </c>
      <c r="L120" t="e">
        <f t="shared" si="4"/>
        <v>#VALUE!</v>
      </c>
    </row>
    <row r="121" spans="10:12" x14ac:dyDescent="0.2">
      <c r="J121" t="e">
        <f t="shared" si="5"/>
        <v>#VALUE!</v>
      </c>
      <c r="K121" t="e">
        <f t="shared" si="3"/>
        <v>#VALUE!</v>
      </c>
      <c r="L121" t="e">
        <f t="shared" si="4"/>
        <v>#VALUE!</v>
      </c>
    </row>
    <row r="122" spans="10:12" x14ac:dyDescent="0.2">
      <c r="J122" t="e">
        <f t="shared" si="5"/>
        <v>#VALUE!</v>
      </c>
      <c r="K122" t="e">
        <f t="shared" si="3"/>
        <v>#VALUE!</v>
      </c>
      <c r="L122" t="e">
        <f t="shared" si="4"/>
        <v>#VALUE!</v>
      </c>
    </row>
    <row r="123" spans="10:12" x14ac:dyDescent="0.2">
      <c r="J123" t="e">
        <f t="shared" si="5"/>
        <v>#VALUE!</v>
      </c>
      <c r="K123" t="e">
        <f t="shared" si="3"/>
        <v>#VALUE!</v>
      </c>
      <c r="L123" t="e">
        <f t="shared" si="4"/>
        <v>#VALUE!</v>
      </c>
    </row>
    <row r="124" spans="10:12" x14ac:dyDescent="0.2">
      <c r="J124" t="e">
        <f t="shared" si="5"/>
        <v>#VALUE!</v>
      </c>
      <c r="K124" t="e">
        <f t="shared" si="3"/>
        <v>#VALUE!</v>
      </c>
      <c r="L124" t="e">
        <f t="shared" si="4"/>
        <v>#VALUE!</v>
      </c>
    </row>
    <row r="125" spans="10:12" x14ac:dyDescent="0.2">
      <c r="J125" t="e">
        <f t="shared" si="5"/>
        <v>#VALUE!</v>
      </c>
      <c r="K125" t="e">
        <f t="shared" si="3"/>
        <v>#VALUE!</v>
      </c>
      <c r="L125" t="e">
        <f t="shared" si="4"/>
        <v>#VALUE!</v>
      </c>
    </row>
    <row r="126" spans="10:12" x14ac:dyDescent="0.2">
      <c r="J126" t="e">
        <f t="shared" si="5"/>
        <v>#VALUE!</v>
      </c>
      <c r="K126" t="e">
        <f t="shared" si="3"/>
        <v>#VALUE!</v>
      </c>
      <c r="L126" t="e">
        <f t="shared" si="4"/>
        <v>#VALUE!</v>
      </c>
    </row>
    <row r="127" spans="10:12" x14ac:dyDescent="0.2">
      <c r="J127" t="e">
        <f t="shared" si="5"/>
        <v>#VALUE!</v>
      </c>
      <c r="K127" t="e">
        <f t="shared" si="3"/>
        <v>#VALUE!</v>
      </c>
      <c r="L127" t="e">
        <f t="shared" si="4"/>
        <v>#VALUE!</v>
      </c>
    </row>
    <row r="128" spans="10:12" x14ac:dyDescent="0.2">
      <c r="J128" t="e">
        <f t="shared" si="5"/>
        <v>#VALUE!</v>
      </c>
      <c r="K128" t="e">
        <f t="shared" si="3"/>
        <v>#VALUE!</v>
      </c>
      <c r="L128" t="e">
        <f t="shared" si="4"/>
        <v>#VALUE!</v>
      </c>
    </row>
    <row r="129" spans="10:12" x14ac:dyDescent="0.2">
      <c r="J129" t="e">
        <f t="shared" si="5"/>
        <v>#VALUE!</v>
      </c>
      <c r="K129" t="e">
        <f t="shared" si="3"/>
        <v>#VALUE!</v>
      </c>
      <c r="L129" t="e">
        <f t="shared" si="4"/>
        <v>#VALUE!</v>
      </c>
    </row>
    <row r="130" spans="10:12" x14ac:dyDescent="0.2">
      <c r="J130" t="e">
        <f t="shared" si="5"/>
        <v>#VALUE!</v>
      </c>
      <c r="K130" t="e">
        <f t="shared" si="3"/>
        <v>#VALUE!</v>
      </c>
      <c r="L130" t="e">
        <f t="shared" si="4"/>
        <v>#VALUE!</v>
      </c>
    </row>
    <row r="131" spans="10:12" x14ac:dyDescent="0.2">
      <c r="J131" t="e">
        <f t="shared" si="5"/>
        <v>#VALUE!</v>
      </c>
      <c r="K131" t="e">
        <f t="shared" si="3"/>
        <v>#VALUE!</v>
      </c>
      <c r="L131" t="e">
        <f t="shared" si="4"/>
        <v>#VALUE!</v>
      </c>
    </row>
    <row r="132" spans="10:12" x14ac:dyDescent="0.2">
      <c r="J132" t="e">
        <f t="shared" si="5"/>
        <v>#VALUE!</v>
      </c>
      <c r="K132" t="e">
        <f t="shared" si="3"/>
        <v>#VALUE!</v>
      </c>
      <c r="L132" t="e">
        <f t="shared" si="4"/>
        <v>#VALUE!</v>
      </c>
    </row>
    <row r="133" spans="10:12" x14ac:dyDescent="0.2">
      <c r="J133" t="e">
        <f t="shared" si="5"/>
        <v>#VALUE!</v>
      </c>
      <c r="K133" t="e">
        <f t="shared" si="3"/>
        <v>#VALUE!</v>
      </c>
      <c r="L133" t="e">
        <f t="shared" si="4"/>
        <v>#VALUE!</v>
      </c>
    </row>
    <row r="134" spans="10:12" x14ac:dyDescent="0.2">
      <c r="J134" t="e">
        <f t="shared" si="5"/>
        <v>#VALUE!</v>
      </c>
      <c r="K134" t="e">
        <f t="shared" ref="K134:K197" si="6">J134*D$9/D$4</f>
        <v>#VALUE!</v>
      </c>
      <c r="L134" t="e">
        <f t="shared" ref="L134:L197" si="7">J134*D$9/D$3</f>
        <v>#VALUE!</v>
      </c>
    </row>
    <row r="135" spans="10:12" x14ac:dyDescent="0.2">
      <c r="J135" t="e">
        <f t="shared" ref="J135:J198" si="8">J134+10</f>
        <v>#VALUE!</v>
      </c>
      <c r="K135" t="e">
        <f t="shared" si="6"/>
        <v>#VALUE!</v>
      </c>
      <c r="L135" t="e">
        <f t="shared" si="7"/>
        <v>#VALUE!</v>
      </c>
    </row>
    <row r="136" spans="10:12" x14ac:dyDescent="0.2">
      <c r="J136" t="e">
        <f t="shared" si="8"/>
        <v>#VALUE!</v>
      </c>
      <c r="K136" t="e">
        <f t="shared" si="6"/>
        <v>#VALUE!</v>
      </c>
      <c r="L136" t="e">
        <f t="shared" si="7"/>
        <v>#VALUE!</v>
      </c>
    </row>
    <row r="137" spans="10:12" x14ac:dyDescent="0.2">
      <c r="J137" t="e">
        <f t="shared" si="8"/>
        <v>#VALUE!</v>
      </c>
      <c r="K137" t="e">
        <f t="shared" si="6"/>
        <v>#VALUE!</v>
      </c>
      <c r="L137" t="e">
        <f t="shared" si="7"/>
        <v>#VALUE!</v>
      </c>
    </row>
    <row r="138" spans="10:12" x14ac:dyDescent="0.2">
      <c r="J138" t="e">
        <f t="shared" si="8"/>
        <v>#VALUE!</v>
      </c>
      <c r="K138" t="e">
        <f t="shared" si="6"/>
        <v>#VALUE!</v>
      </c>
      <c r="L138" t="e">
        <f t="shared" si="7"/>
        <v>#VALUE!</v>
      </c>
    </row>
    <row r="139" spans="10:12" x14ac:dyDescent="0.2">
      <c r="J139" t="e">
        <f t="shared" si="8"/>
        <v>#VALUE!</v>
      </c>
      <c r="K139" t="e">
        <f t="shared" si="6"/>
        <v>#VALUE!</v>
      </c>
      <c r="L139" t="e">
        <f t="shared" si="7"/>
        <v>#VALUE!</v>
      </c>
    </row>
    <row r="140" spans="10:12" x14ac:dyDescent="0.2">
      <c r="J140" t="e">
        <f t="shared" si="8"/>
        <v>#VALUE!</v>
      </c>
      <c r="K140" t="e">
        <f t="shared" si="6"/>
        <v>#VALUE!</v>
      </c>
      <c r="L140" t="e">
        <f t="shared" si="7"/>
        <v>#VALUE!</v>
      </c>
    </row>
    <row r="141" spans="10:12" x14ac:dyDescent="0.2">
      <c r="J141" t="e">
        <f t="shared" si="8"/>
        <v>#VALUE!</v>
      </c>
      <c r="K141" t="e">
        <f t="shared" si="6"/>
        <v>#VALUE!</v>
      </c>
      <c r="L141" t="e">
        <f t="shared" si="7"/>
        <v>#VALUE!</v>
      </c>
    </row>
    <row r="142" spans="10:12" x14ac:dyDescent="0.2">
      <c r="J142" t="e">
        <f t="shared" si="8"/>
        <v>#VALUE!</v>
      </c>
      <c r="K142" t="e">
        <f t="shared" si="6"/>
        <v>#VALUE!</v>
      </c>
      <c r="L142" t="e">
        <f t="shared" si="7"/>
        <v>#VALUE!</v>
      </c>
    </row>
    <row r="143" spans="10:12" x14ac:dyDescent="0.2">
      <c r="J143" t="e">
        <f t="shared" si="8"/>
        <v>#VALUE!</v>
      </c>
      <c r="K143" t="e">
        <f t="shared" si="6"/>
        <v>#VALUE!</v>
      </c>
      <c r="L143" t="e">
        <f t="shared" si="7"/>
        <v>#VALUE!</v>
      </c>
    </row>
    <row r="144" spans="10:12" x14ac:dyDescent="0.2">
      <c r="J144" t="e">
        <f t="shared" si="8"/>
        <v>#VALUE!</v>
      </c>
      <c r="K144" t="e">
        <f t="shared" si="6"/>
        <v>#VALUE!</v>
      </c>
      <c r="L144" t="e">
        <f t="shared" si="7"/>
        <v>#VALUE!</v>
      </c>
    </row>
    <row r="145" spans="10:12" x14ac:dyDescent="0.2">
      <c r="J145" t="e">
        <f t="shared" si="8"/>
        <v>#VALUE!</v>
      </c>
      <c r="K145" t="e">
        <f t="shared" si="6"/>
        <v>#VALUE!</v>
      </c>
      <c r="L145" t="e">
        <f t="shared" si="7"/>
        <v>#VALUE!</v>
      </c>
    </row>
    <row r="146" spans="10:12" x14ac:dyDescent="0.2">
      <c r="J146" t="e">
        <f t="shared" si="8"/>
        <v>#VALUE!</v>
      </c>
      <c r="K146" t="e">
        <f t="shared" si="6"/>
        <v>#VALUE!</v>
      </c>
      <c r="L146" t="e">
        <f t="shared" si="7"/>
        <v>#VALUE!</v>
      </c>
    </row>
    <row r="147" spans="10:12" x14ac:dyDescent="0.2">
      <c r="J147" t="e">
        <f t="shared" si="8"/>
        <v>#VALUE!</v>
      </c>
      <c r="K147" t="e">
        <f t="shared" si="6"/>
        <v>#VALUE!</v>
      </c>
      <c r="L147" t="e">
        <f t="shared" si="7"/>
        <v>#VALUE!</v>
      </c>
    </row>
    <row r="148" spans="10:12" x14ac:dyDescent="0.2">
      <c r="J148" t="e">
        <f t="shared" si="8"/>
        <v>#VALUE!</v>
      </c>
      <c r="K148" t="e">
        <f t="shared" si="6"/>
        <v>#VALUE!</v>
      </c>
      <c r="L148" t="e">
        <f t="shared" si="7"/>
        <v>#VALUE!</v>
      </c>
    </row>
    <row r="149" spans="10:12" x14ac:dyDescent="0.2">
      <c r="J149" t="e">
        <f t="shared" si="8"/>
        <v>#VALUE!</v>
      </c>
      <c r="K149" t="e">
        <f t="shared" si="6"/>
        <v>#VALUE!</v>
      </c>
      <c r="L149" t="e">
        <f t="shared" si="7"/>
        <v>#VALUE!</v>
      </c>
    </row>
    <row r="150" spans="10:12" x14ac:dyDescent="0.2">
      <c r="J150" t="e">
        <f t="shared" si="8"/>
        <v>#VALUE!</v>
      </c>
      <c r="K150" t="e">
        <f t="shared" si="6"/>
        <v>#VALUE!</v>
      </c>
      <c r="L150" t="e">
        <f t="shared" si="7"/>
        <v>#VALUE!</v>
      </c>
    </row>
    <row r="151" spans="10:12" x14ac:dyDescent="0.2">
      <c r="J151" t="e">
        <f t="shared" si="8"/>
        <v>#VALUE!</v>
      </c>
      <c r="K151" t="e">
        <f t="shared" si="6"/>
        <v>#VALUE!</v>
      </c>
      <c r="L151" t="e">
        <f t="shared" si="7"/>
        <v>#VALUE!</v>
      </c>
    </row>
    <row r="152" spans="10:12" x14ac:dyDescent="0.2">
      <c r="J152" t="e">
        <f t="shared" si="8"/>
        <v>#VALUE!</v>
      </c>
      <c r="K152" t="e">
        <f t="shared" si="6"/>
        <v>#VALUE!</v>
      </c>
      <c r="L152" t="e">
        <f t="shared" si="7"/>
        <v>#VALUE!</v>
      </c>
    </row>
    <row r="153" spans="10:12" x14ac:dyDescent="0.2">
      <c r="J153" t="e">
        <f t="shared" si="8"/>
        <v>#VALUE!</v>
      </c>
      <c r="K153" t="e">
        <f t="shared" si="6"/>
        <v>#VALUE!</v>
      </c>
      <c r="L153" t="e">
        <f t="shared" si="7"/>
        <v>#VALUE!</v>
      </c>
    </row>
    <row r="154" spans="10:12" x14ac:dyDescent="0.2">
      <c r="J154" t="e">
        <f t="shared" si="8"/>
        <v>#VALUE!</v>
      </c>
      <c r="K154" t="e">
        <f t="shared" si="6"/>
        <v>#VALUE!</v>
      </c>
      <c r="L154" t="e">
        <f t="shared" si="7"/>
        <v>#VALUE!</v>
      </c>
    </row>
    <row r="155" spans="10:12" x14ac:dyDescent="0.2">
      <c r="J155" t="e">
        <f t="shared" si="8"/>
        <v>#VALUE!</v>
      </c>
      <c r="K155" t="e">
        <f t="shared" si="6"/>
        <v>#VALUE!</v>
      </c>
      <c r="L155" t="e">
        <f t="shared" si="7"/>
        <v>#VALUE!</v>
      </c>
    </row>
    <row r="156" spans="10:12" x14ac:dyDescent="0.2">
      <c r="J156" t="e">
        <f t="shared" si="8"/>
        <v>#VALUE!</v>
      </c>
      <c r="K156" t="e">
        <f t="shared" si="6"/>
        <v>#VALUE!</v>
      </c>
      <c r="L156" t="e">
        <f t="shared" si="7"/>
        <v>#VALUE!</v>
      </c>
    </row>
    <row r="157" spans="10:12" x14ac:dyDescent="0.2">
      <c r="J157" t="e">
        <f t="shared" si="8"/>
        <v>#VALUE!</v>
      </c>
      <c r="K157" t="e">
        <f t="shared" si="6"/>
        <v>#VALUE!</v>
      </c>
      <c r="L157" t="e">
        <f t="shared" si="7"/>
        <v>#VALUE!</v>
      </c>
    </row>
    <row r="158" spans="10:12" x14ac:dyDescent="0.2">
      <c r="J158" t="e">
        <f t="shared" si="8"/>
        <v>#VALUE!</v>
      </c>
      <c r="K158" t="e">
        <f t="shared" si="6"/>
        <v>#VALUE!</v>
      </c>
      <c r="L158" t="e">
        <f t="shared" si="7"/>
        <v>#VALUE!</v>
      </c>
    </row>
    <row r="159" spans="10:12" x14ac:dyDescent="0.2">
      <c r="J159" t="e">
        <f t="shared" si="8"/>
        <v>#VALUE!</v>
      </c>
      <c r="K159" t="e">
        <f t="shared" si="6"/>
        <v>#VALUE!</v>
      </c>
      <c r="L159" t="e">
        <f t="shared" si="7"/>
        <v>#VALUE!</v>
      </c>
    </row>
    <row r="160" spans="10:12" x14ac:dyDescent="0.2">
      <c r="J160" t="e">
        <f t="shared" si="8"/>
        <v>#VALUE!</v>
      </c>
      <c r="K160" t="e">
        <f t="shared" si="6"/>
        <v>#VALUE!</v>
      </c>
      <c r="L160" t="e">
        <f t="shared" si="7"/>
        <v>#VALUE!</v>
      </c>
    </row>
    <row r="161" spans="10:12" x14ac:dyDescent="0.2">
      <c r="J161" t="e">
        <f t="shared" si="8"/>
        <v>#VALUE!</v>
      </c>
      <c r="K161" t="e">
        <f t="shared" si="6"/>
        <v>#VALUE!</v>
      </c>
      <c r="L161" t="e">
        <f t="shared" si="7"/>
        <v>#VALUE!</v>
      </c>
    </row>
    <row r="162" spans="10:12" x14ac:dyDescent="0.2">
      <c r="J162" t="e">
        <f t="shared" si="8"/>
        <v>#VALUE!</v>
      </c>
      <c r="K162" t="e">
        <f t="shared" si="6"/>
        <v>#VALUE!</v>
      </c>
      <c r="L162" t="e">
        <f t="shared" si="7"/>
        <v>#VALUE!</v>
      </c>
    </row>
    <row r="163" spans="10:12" x14ac:dyDescent="0.2">
      <c r="J163" t="e">
        <f t="shared" si="8"/>
        <v>#VALUE!</v>
      </c>
      <c r="K163" t="e">
        <f t="shared" si="6"/>
        <v>#VALUE!</v>
      </c>
      <c r="L163" t="e">
        <f t="shared" si="7"/>
        <v>#VALUE!</v>
      </c>
    </row>
    <row r="164" spans="10:12" x14ac:dyDescent="0.2">
      <c r="J164" t="e">
        <f t="shared" si="8"/>
        <v>#VALUE!</v>
      </c>
      <c r="K164" t="e">
        <f t="shared" si="6"/>
        <v>#VALUE!</v>
      </c>
      <c r="L164" t="e">
        <f t="shared" si="7"/>
        <v>#VALUE!</v>
      </c>
    </row>
    <row r="165" spans="10:12" x14ac:dyDescent="0.2">
      <c r="J165" t="e">
        <f t="shared" si="8"/>
        <v>#VALUE!</v>
      </c>
      <c r="K165" t="e">
        <f t="shared" si="6"/>
        <v>#VALUE!</v>
      </c>
      <c r="L165" t="e">
        <f t="shared" si="7"/>
        <v>#VALUE!</v>
      </c>
    </row>
    <row r="166" spans="10:12" x14ac:dyDescent="0.2">
      <c r="J166" t="e">
        <f t="shared" si="8"/>
        <v>#VALUE!</v>
      </c>
      <c r="K166" t="e">
        <f t="shared" si="6"/>
        <v>#VALUE!</v>
      </c>
      <c r="L166" t="e">
        <f t="shared" si="7"/>
        <v>#VALUE!</v>
      </c>
    </row>
    <row r="167" spans="10:12" x14ac:dyDescent="0.2">
      <c r="J167" t="e">
        <f t="shared" si="8"/>
        <v>#VALUE!</v>
      </c>
      <c r="K167" t="e">
        <f t="shared" si="6"/>
        <v>#VALUE!</v>
      </c>
      <c r="L167" t="e">
        <f t="shared" si="7"/>
        <v>#VALUE!</v>
      </c>
    </row>
    <row r="168" spans="10:12" x14ac:dyDescent="0.2">
      <c r="J168" t="e">
        <f t="shared" si="8"/>
        <v>#VALUE!</v>
      </c>
      <c r="K168" t="e">
        <f t="shared" si="6"/>
        <v>#VALUE!</v>
      </c>
      <c r="L168" t="e">
        <f t="shared" si="7"/>
        <v>#VALUE!</v>
      </c>
    </row>
    <row r="169" spans="10:12" x14ac:dyDescent="0.2">
      <c r="J169" t="e">
        <f t="shared" si="8"/>
        <v>#VALUE!</v>
      </c>
      <c r="K169" t="e">
        <f t="shared" si="6"/>
        <v>#VALUE!</v>
      </c>
      <c r="L169" t="e">
        <f t="shared" si="7"/>
        <v>#VALUE!</v>
      </c>
    </row>
    <row r="170" spans="10:12" x14ac:dyDescent="0.2">
      <c r="J170" t="e">
        <f t="shared" si="8"/>
        <v>#VALUE!</v>
      </c>
      <c r="K170" t="e">
        <f t="shared" si="6"/>
        <v>#VALUE!</v>
      </c>
      <c r="L170" t="e">
        <f t="shared" si="7"/>
        <v>#VALUE!</v>
      </c>
    </row>
    <row r="171" spans="10:12" x14ac:dyDescent="0.2">
      <c r="J171" t="e">
        <f t="shared" si="8"/>
        <v>#VALUE!</v>
      </c>
      <c r="K171" t="e">
        <f t="shared" si="6"/>
        <v>#VALUE!</v>
      </c>
      <c r="L171" t="e">
        <f t="shared" si="7"/>
        <v>#VALUE!</v>
      </c>
    </row>
    <row r="172" spans="10:12" x14ac:dyDescent="0.2">
      <c r="J172" t="e">
        <f t="shared" si="8"/>
        <v>#VALUE!</v>
      </c>
      <c r="K172" t="e">
        <f t="shared" si="6"/>
        <v>#VALUE!</v>
      </c>
      <c r="L172" t="e">
        <f t="shared" si="7"/>
        <v>#VALUE!</v>
      </c>
    </row>
    <row r="173" spans="10:12" x14ac:dyDescent="0.2">
      <c r="J173" t="e">
        <f t="shared" si="8"/>
        <v>#VALUE!</v>
      </c>
      <c r="K173" t="e">
        <f t="shared" si="6"/>
        <v>#VALUE!</v>
      </c>
      <c r="L173" t="e">
        <f t="shared" si="7"/>
        <v>#VALUE!</v>
      </c>
    </row>
    <row r="174" spans="10:12" x14ac:dyDescent="0.2">
      <c r="J174" t="e">
        <f t="shared" si="8"/>
        <v>#VALUE!</v>
      </c>
      <c r="K174" t="e">
        <f t="shared" si="6"/>
        <v>#VALUE!</v>
      </c>
      <c r="L174" t="e">
        <f t="shared" si="7"/>
        <v>#VALUE!</v>
      </c>
    </row>
    <row r="175" spans="10:12" x14ac:dyDescent="0.2">
      <c r="J175" t="e">
        <f t="shared" si="8"/>
        <v>#VALUE!</v>
      </c>
      <c r="K175" t="e">
        <f t="shared" si="6"/>
        <v>#VALUE!</v>
      </c>
      <c r="L175" t="e">
        <f t="shared" si="7"/>
        <v>#VALUE!</v>
      </c>
    </row>
    <row r="176" spans="10:12" x14ac:dyDescent="0.2">
      <c r="J176" t="e">
        <f t="shared" si="8"/>
        <v>#VALUE!</v>
      </c>
      <c r="K176" t="e">
        <f t="shared" si="6"/>
        <v>#VALUE!</v>
      </c>
      <c r="L176" t="e">
        <f t="shared" si="7"/>
        <v>#VALUE!</v>
      </c>
    </row>
    <row r="177" spans="10:12" x14ac:dyDescent="0.2">
      <c r="J177" t="e">
        <f t="shared" si="8"/>
        <v>#VALUE!</v>
      </c>
      <c r="K177" t="e">
        <f t="shared" si="6"/>
        <v>#VALUE!</v>
      </c>
      <c r="L177" t="e">
        <f t="shared" si="7"/>
        <v>#VALUE!</v>
      </c>
    </row>
    <row r="178" spans="10:12" x14ac:dyDescent="0.2">
      <c r="J178" t="e">
        <f t="shared" si="8"/>
        <v>#VALUE!</v>
      </c>
      <c r="K178" t="e">
        <f t="shared" si="6"/>
        <v>#VALUE!</v>
      </c>
      <c r="L178" t="e">
        <f t="shared" si="7"/>
        <v>#VALUE!</v>
      </c>
    </row>
    <row r="179" spans="10:12" x14ac:dyDescent="0.2">
      <c r="J179" t="e">
        <f t="shared" si="8"/>
        <v>#VALUE!</v>
      </c>
      <c r="K179" t="e">
        <f t="shared" si="6"/>
        <v>#VALUE!</v>
      </c>
      <c r="L179" t="e">
        <f t="shared" si="7"/>
        <v>#VALUE!</v>
      </c>
    </row>
    <row r="180" spans="10:12" x14ac:dyDescent="0.2">
      <c r="J180" t="e">
        <f t="shared" si="8"/>
        <v>#VALUE!</v>
      </c>
      <c r="K180" t="e">
        <f t="shared" si="6"/>
        <v>#VALUE!</v>
      </c>
      <c r="L180" t="e">
        <f t="shared" si="7"/>
        <v>#VALUE!</v>
      </c>
    </row>
    <row r="181" spans="10:12" x14ac:dyDescent="0.2">
      <c r="J181" t="e">
        <f t="shared" si="8"/>
        <v>#VALUE!</v>
      </c>
      <c r="K181" t="e">
        <f t="shared" si="6"/>
        <v>#VALUE!</v>
      </c>
      <c r="L181" t="e">
        <f t="shared" si="7"/>
        <v>#VALUE!</v>
      </c>
    </row>
    <row r="182" spans="10:12" x14ac:dyDescent="0.2">
      <c r="J182" t="e">
        <f t="shared" si="8"/>
        <v>#VALUE!</v>
      </c>
      <c r="K182" t="e">
        <f t="shared" si="6"/>
        <v>#VALUE!</v>
      </c>
      <c r="L182" t="e">
        <f t="shared" si="7"/>
        <v>#VALUE!</v>
      </c>
    </row>
    <row r="183" spans="10:12" x14ac:dyDescent="0.2">
      <c r="J183" t="e">
        <f t="shared" si="8"/>
        <v>#VALUE!</v>
      </c>
      <c r="K183" t="e">
        <f t="shared" si="6"/>
        <v>#VALUE!</v>
      </c>
      <c r="L183" t="e">
        <f t="shared" si="7"/>
        <v>#VALUE!</v>
      </c>
    </row>
    <row r="184" spans="10:12" x14ac:dyDescent="0.2">
      <c r="J184" t="e">
        <f t="shared" si="8"/>
        <v>#VALUE!</v>
      </c>
      <c r="K184" t="e">
        <f t="shared" si="6"/>
        <v>#VALUE!</v>
      </c>
      <c r="L184" t="e">
        <f t="shared" si="7"/>
        <v>#VALUE!</v>
      </c>
    </row>
    <row r="185" spans="10:12" x14ac:dyDescent="0.2">
      <c r="J185" t="e">
        <f t="shared" si="8"/>
        <v>#VALUE!</v>
      </c>
      <c r="K185" t="e">
        <f t="shared" si="6"/>
        <v>#VALUE!</v>
      </c>
      <c r="L185" t="e">
        <f t="shared" si="7"/>
        <v>#VALUE!</v>
      </c>
    </row>
    <row r="186" spans="10:12" x14ac:dyDescent="0.2">
      <c r="J186" t="e">
        <f t="shared" si="8"/>
        <v>#VALUE!</v>
      </c>
      <c r="K186" t="e">
        <f t="shared" si="6"/>
        <v>#VALUE!</v>
      </c>
      <c r="L186" t="e">
        <f t="shared" si="7"/>
        <v>#VALUE!</v>
      </c>
    </row>
    <row r="187" spans="10:12" x14ac:dyDescent="0.2">
      <c r="J187" t="e">
        <f t="shared" si="8"/>
        <v>#VALUE!</v>
      </c>
      <c r="K187" t="e">
        <f t="shared" si="6"/>
        <v>#VALUE!</v>
      </c>
      <c r="L187" t="e">
        <f t="shared" si="7"/>
        <v>#VALUE!</v>
      </c>
    </row>
    <row r="188" spans="10:12" x14ac:dyDescent="0.2">
      <c r="J188" t="e">
        <f t="shared" si="8"/>
        <v>#VALUE!</v>
      </c>
      <c r="K188" t="e">
        <f t="shared" si="6"/>
        <v>#VALUE!</v>
      </c>
      <c r="L188" t="e">
        <f t="shared" si="7"/>
        <v>#VALUE!</v>
      </c>
    </row>
    <row r="189" spans="10:12" x14ac:dyDescent="0.2">
      <c r="J189" t="e">
        <f t="shared" si="8"/>
        <v>#VALUE!</v>
      </c>
      <c r="K189" t="e">
        <f t="shared" si="6"/>
        <v>#VALUE!</v>
      </c>
      <c r="L189" t="e">
        <f t="shared" si="7"/>
        <v>#VALUE!</v>
      </c>
    </row>
    <row r="190" spans="10:12" x14ac:dyDescent="0.2">
      <c r="J190" t="e">
        <f t="shared" si="8"/>
        <v>#VALUE!</v>
      </c>
      <c r="K190" t="e">
        <f t="shared" si="6"/>
        <v>#VALUE!</v>
      </c>
      <c r="L190" t="e">
        <f t="shared" si="7"/>
        <v>#VALUE!</v>
      </c>
    </row>
    <row r="191" spans="10:12" x14ac:dyDescent="0.2">
      <c r="J191" t="e">
        <f t="shared" si="8"/>
        <v>#VALUE!</v>
      </c>
      <c r="K191" t="e">
        <f t="shared" si="6"/>
        <v>#VALUE!</v>
      </c>
      <c r="L191" t="e">
        <f t="shared" si="7"/>
        <v>#VALUE!</v>
      </c>
    </row>
    <row r="192" spans="10:12" x14ac:dyDescent="0.2">
      <c r="J192" t="e">
        <f t="shared" si="8"/>
        <v>#VALUE!</v>
      </c>
      <c r="K192" t="e">
        <f t="shared" si="6"/>
        <v>#VALUE!</v>
      </c>
      <c r="L192" t="e">
        <f t="shared" si="7"/>
        <v>#VALUE!</v>
      </c>
    </row>
    <row r="193" spans="10:12" x14ac:dyDescent="0.2">
      <c r="J193" t="e">
        <f t="shared" si="8"/>
        <v>#VALUE!</v>
      </c>
      <c r="K193" t="e">
        <f t="shared" si="6"/>
        <v>#VALUE!</v>
      </c>
      <c r="L193" t="e">
        <f t="shared" si="7"/>
        <v>#VALUE!</v>
      </c>
    </row>
    <row r="194" spans="10:12" x14ac:dyDescent="0.2">
      <c r="J194" t="e">
        <f t="shared" si="8"/>
        <v>#VALUE!</v>
      </c>
      <c r="K194" t="e">
        <f t="shared" si="6"/>
        <v>#VALUE!</v>
      </c>
      <c r="L194" t="e">
        <f t="shared" si="7"/>
        <v>#VALUE!</v>
      </c>
    </row>
    <row r="195" spans="10:12" x14ac:dyDescent="0.2">
      <c r="J195" t="e">
        <f t="shared" si="8"/>
        <v>#VALUE!</v>
      </c>
      <c r="K195" t="e">
        <f t="shared" si="6"/>
        <v>#VALUE!</v>
      </c>
      <c r="L195" t="e">
        <f t="shared" si="7"/>
        <v>#VALUE!</v>
      </c>
    </row>
    <row r="196" spans="10:12" x14ac:dyDescent="0.2">
      <c r="J196" t="e">
        <f t="shared" si="8"/>
        <v>#VALUE!</v>
      </c>
      <c r="K196" t="e">
        <f t="shared" si="6"/>
        <v>#VALUE!</v>
      </c>
      <c r="L196" t="e">
        <f t="shared" si="7"/>
        <v>#VALUE!</v>
      </c>
    </row>
    <row r="197" spans="10:12" x14ac:dyDescent="0.2">
      <c r="J197" t="e">
        <f t="shared" si="8"/>
        <v>#VALUE!</v>
      </c>
      <c r="K197" t="e">
        <f t="shared" si="6"/>
        <v>#VALUE!</v>
      </c>
      <c r="L197" t="e">
        <f t="shared" si="7"/>
        <v>#VALUE!</v>
      </c>
    </row>
    <row r="198" spans="10:12" x14ac:dyDescent="0.2">
      <c r="J198" t="e">
        <f t="shared" si="8"/>
        <v>#VALUE!</v>
      </c>
      <c r="K198" t="e">
        <f t="shared" ref="K198:K249" si="9">J198*D$9/D$4</f>
        <v>#VALUE!</v>
      </c>
      <c r="L198" t="e">
        <f t="shared" ref="L198:L249" si="10">J198*D$9/D$3</f>
        <v>#VALUE!</v>
      </c>
    </row>
    <row r="199" spans="10:12" x14ac:dyDescent="0.2">
      <c r="J199" t="e">
        <f t="shared" ref="J199:J249" si="11">J198+10</f>
        <v>#VALUE!</v>
      </c>
      <c r="K199" t="e">
        <f t="shared" si="9"/>
        <v>#VALUE!</v>
      </c>
      <c r="L199" t="e">
        <f t="shared" si="10"/>
        <v>#VALUE!</v>
      </c>
    </row>
    <row r="200" spans="10:12" x14ac:dyDescent="0.2">
      <c r="J200" t="e">
        <f t="shared" si="11"/>
        <v>#VALUE!</v>
      </c>
      <c r="K200" t="e">
        <f t="shared" si="9"/>
        <v>#VALUE!</v>
      </c>
      <c r="L200" t="e">
        <f t="shared" si="10"/>
        <v>#VALUE!</v>
      </c>
    </row>
    <row r="201" spans="10:12" x14ac:dyDescent="0.2">
      <c r="J201" t="e">
        <f t="shared" si="11"/>
        <v>#VALUE!</v>
      </c>
      <c r="K201" t="e">
        <f t="shared" si="9"/>
        <v>#VALUE!</v>
      </c>
      <c r="L201" t="e">
        <f t="shared" si="10"/>
        <v>#VALUE!</v>
      </c>
    </row>
    <row r="202" spans="10:12" x14ac:dyDescent="0.2">
      <c r="J202" t="e">
        <f t="shared" si="11"/>
        <v>#VALUE!</v>
      </c>
      <c r="K202" t="e">
        <f t="shared" si="9"/>
        <v>#VALUE!</v>
      </c>
      <c r="L202" t="e">
        <f t="shared" si="10"/>
        <v>#VALUE!</v>
      </c>
    </row>
    <row r="203" spans="10:12" x14ac:dyDescent="0.2">
      <c r="J203" t="e">
        <f t="shared" si="11"/>
        <v>#VALUE!</v>
      </c>
      <c r="K203" t="e">
        <f t="shared" si="9"/>
        <v>#VALUE!</v>
      </c>
      <c r="L203" t="e">
        <f t="shared" si="10"/>
        <v>#VALUE!</v>
      </c>
    </row>
    <row r="204" spans="10:12" x14ac:dyDescent="0.2">
      <c r="J204" t="e">
        <f t="shared" si="11"/>
        <v>#VALUE!</v>
      </c>
      <c r="K204" t="e">
        <f t="shared" si="9"/>
        <v>#VALUE!</v>
      </c>
      <c r="L204" t="e">
        <f t="shared" si="10"/>
        <v>#VALUE!</v>
      </c>
    </row>
    <row r="205" spans="10:12" x14ac:dyDescent="0.2">
      <c r="J205" t="e">
        <f t="shared" si="11"/>
        <v>#VALUE!</v>
      </c>
      <c r="K205" t="e">
        <f t="shared" si="9"/>
        <v>#VALUE!</v>
      </c>
      <c r="L205" t="e">
        <f t="shared" si="10"/>
        <v>#VALUE!</v>
      </c>
    </row>
    <row r="206" spans="10:12" x14ac:dyDescent="0.2">
      <c r="J206" t="e">
        <f t="shared" si="11"/>
        <v>#VALUE!</v>
      </c>
      <c r="K206" t="e">
        <f t="shared" si="9"/>
        <v>#VALUE!</v>
      </c>
      <c r="L206" t="e">
        <f t="shared" si="10"/>
        <v>#VALUE!</v>
      </c>
    </row>
    <row r="207" spans="10:12" x14ac:dyDescent="0.2">
      <c r="J207" t="e">
        <f t="shared" si="11"/>
        <v>#VALUE!</v>
      </c>
      <c r="K207" t="e">
        <f t="shared" si="9"/>
        <v>#VALUE!</v>
      </c>
      <c r="L207" t="e">
        <f t="shared" si="10"/>
        <v>#VALUE!</v>
      </c>
    </row>
    <row r="208" spans="10:12" x14ac:dyDescent="0.2">
      <c r="J208" t="e">
        <f t="shared" si="11"/>
        <v>#VALUE!</v>
      </c>
      <c r="K208" t="e">
        <f t="shared" si="9"/>
        <v>#VALUE!</v>
      </c>
      <c r="L208" t="e">
        <f t="shared" si="10"/>
        <v>#VALUE!</v>
      </c>
    </row>
    <row r="209" spans="10:12" x14ac:dyDescent="0.2">
      <c r="J209" t="e">
        <f t="shared" si="11"/>
        <v>#VALUE!</v>
      </c>
      <c r="K209" t="e">
        <f t="shared" si="9"/>
        <v>#VALUE!</v>
      </c>
      <c r="L209" t="e">
        <f t="shared" si="10"/>
        <v>#VALUE!</v>
      </c>
    </row>
    <row r="210" spans="10:12" x14ac:dyDescent="0.2">
      <c r="J210" t="e">
        <f t="shared" si="11"/>
        <v>#VALUE!</v>
      </c>
      <c r="K210" t="e">
        <f t="shared" si="9"/>
        <v>#VALUE!</v>
      </c>
      <c r="L210" t="e">
        <f t="shared" si="10"/>
        <v>#VALUE!</v>
      </c>
    </row>
    <row r="211" spans="10:12" x14ac:dyDescent="0.2">
      <c r="J211" t="e">
        <f t="shared" si="11"/>
        <v>#VALUE!</v>
      </c>
      <c r="K211" t="e">
        <f t="shared" si="9"/>
        <v>#VALUE!</v>
      </c>
      <c r="L211" t="e">
        <f t="shared" si="10"/>
        <v>#VALUE!</v>
      </c>
    </row>
    <row r="212" spans="10:12" x14ac:dyDescent="0.2">
      <c r="J212" t="e">
        <f t="shared" si="11"/>
        <v>#VALUE!</v>
      </c>
      <c r="K212" t="e">
        <f t="shared" si="9"/>
        <v>#VALUE!</v>
      </c>
      <c r="L212" t="e">
        <f t="shared" si="10"/>
        <v>#VALUE!</v>
      </c>
    </row>
    <row r="213" spans="10:12" x14ac:dyDescent="0.2">
      <c r="J213" t="e">
        <f t="shared" si="11"/>
        <v>#VALUE!</v>
      </c>
      <c r="K213" t="e">
        <f t="shared" si="9"/>
        <v>#VALUE!</v>
      </c>
      <c r="L213" t="e">
        <f t="shared" si="10"/>
        <v>#VALUE!</v>
      </c>
    </row>
    <row r="214" spans="10:12" x14ac:dyDescent="0.2">
      <c r="J214" t="e">
        <f t="shared" si="11"/>
        <v>#VALUE!</v>
      </c>
      <c r="K214" t="e">
        <f t="shared" si="9"/>
        <v>#VALUE!</v>
      </c>
      <c r="L214" t="e">
        <f t="shared" si="10"/>
        <v>#VALUE!</v>
      </c>
    </row>
    <row r="215" spans="10:12" x14ac:dyDescent="0.2">
      <c r="J215" t="e">
        <f t="shared" si="11"/>
        <v>#VALUE!</v>
      </c>
      <c r="K215" t="e">
        <f t="shared" si="9"/>
        <v>#VALUE!</v>
      </c>
      <c r="L215" t="e">
        <f t="shared" si="10"/>
        <v>#VALUE!</v>
      </c>
    </row>
    <row r="216" spans="10:12" x14ac:dyDescent="0.2">
      <c r="J216" t="e">
        <f t="shared" si="11"/>
        <v>#VALUE!</v>
      </c>
      <c r="K216" t="e">
        <f t="shared" si="9"/>
        <v>#VALUE!</v>
      </c>
      <c r="L216" t="e">
        <f t="shared" si="10"/>
        <v>#VALUE!</v>
      </c>
    </row>
    <row r="217" spans="10:12" x14ac:dyDescent="0.2">
      <c r="J217" t="e">
        <f t="shared" si="11"/>
        <v>#VALUE!</v>
      </c>
      <c r="K217" t="e">
        <f t="shared" si="9"/>
        <v>#VALUE!</v>
      </c>
      <c r="L217" t="e">
        <f t="shared" si="10"/>
        <v>#VALUE!</v>
      </c>
    </row>
    <row r="218" spans="10:12" x14ac:dyDescent="0.2">
      <c r="J218" t="e">
        <f t="shared" si="11"/>
        <v>#VALUE!</v>
      </c>
      <c r="K218" t="e">
        <f t="shared" si="9"/>
        <v>#VALUE!</v>
      </c>
      <c r="L218" t="e">
        <f t="shared" si="10"/>
        <v>#VALUE!</v>
      </c>
    </row>
    <row r="219" spans="10:12" x14ac:dyDescent="0.2">
      <c r="J219" t="e">
        <f t="shared" si="11"/>
        <v>#VALUE!</v>
      </c>
      <c r="K219" t="e">
        <f t="shared" si="9"/>
        <v>#VALUE!</v>
      </c>
      <c r="L219" t="e">
        <f t="shared" si="10"/>
        <v>#VALUE!</v>
      </c>
    </row>
    <row r="220" spans="10:12" x14ac:dyDescent="0.2">
      <c r="J220" t="e">
        <f t="shared" si="11"/>
        <v>#VALUE!</v>
      </c>
      <c r="K220" t="e">
        <f t="shared" si="9"/>
        <v>#VALUE!</v>
      </c>
      <c r="L220" t="e">
        <f t="shared" si="10"/>
        <v>#VALUE!</v>
      </c>
    </row>
    <row r="221" spans="10:12" x14ac:dyDescent="0.2">
      <c r="J221" t="e">
        <f t="shared" si="11"/>
        <v>#VALUE!</v>
      </c>
      <c r="K221" t="e">
        <f t="shared" si="9"/>
        <v>#VALUE!</v>
      </c>
      <c r="L221" t="e">
        <f t="shared" si="10"/>
        <v>#VALUE!</v>
      </c>
    </row>
    <row r="222" spans="10:12" x14ac:dyDescent="0.2">
      <c r="J222" t="e">
        <f t="shared" si="11"/>
        <v>#VALUE!</v>
      </c>
      <c r="K222" t="e">
        <f t="shared" si="9"/>
        <v>#VALUE!</v>
      </c>
      <c r="L222" t="e">
        <f t="shared" si="10"/>
        <v>#VALUE!</v>
      </c>
    </row>
    <row r="223" spans="10:12" x14ac:dyDescent="0.2">
      <c r="J223" t="e">
        <f t="shared" si="11"/>
        <v>#VALUE!</v>
      </c>
      <c r="K223" t="e">
        <f t="shared" si="9"/>
        <v>#VALUE!</v>
      </c>
      <c r="L223" t="e">
        <f t="shared" si="10"/>
        <v>#VALUE!</v>
      </c>
    </row>
    <row r="224" spans="10:12" x14ac:dyDescent="0.2">
      <c r="J224" t="e">
        <f t="shared" si="11"/>
        <v>#VALUE!</v>
      </c>
      <c r="K224" t="e">
        <f t="shared" si="9"/>
        <v>#VALUE!</v>
      </c>
      <c r="L224" t="e">
        <f t="shared" si="10"/>
        <v>#VALUE!</v>
      </c>
    </row>
    <row r="225" spans="10:12" x14ac:dyDescent="0.2">
      <c r="J225" t="e">
        <f t="shared" si="11"/>
        <v>#VALUE!</v>
      </c>
      <c r="K225" t="e">
        <f t="shared" si="9"/>
        <v>#VALUE!</v>
      </c>
      <c r="L225" t="e">
        <f t="shared" si="10"/>
        <v>#VALUE!</v>
      </c>
    </row>
    <row r="226" spans="10:12" x14ac:dyDescent="0.2">
      <c r="J226" t="e">
        <f t="shared" si="11"/>
        <v>#VALUE!</v>
      </c>
      <c r="K226" t="e">
        <f t="shared" si="9"/>
        <v>#VALUE!</v>
      </c>
      <c r="L226" t="e">
        <f t="shared" si="10"/>
        <v>#VALUE!</v>
      </c>
    </row>
    <row r="227" spans="10:12" x14ac:dyDescent="0.2">
      <c r="J227" t="e">
        <f t="shared" si="11"/>
        <v>#VALUE!</v>
      </c>
      <c r="K227" t="e">
        <f t="shared" si="9"/>
        <v>#VALUE!</v>
      </c>
      <c r="L227" t="e">
        <f t="shared" si="10"/>
        <v>#VALUE!</v>
      </c>
    </row>
    <row r="228" spans="10:12" x14ac:dyDescent="0.2">
      <c r="J228" t="e">
        <f t="shared" si="11"/>
        <v>#VALUE!</v>
      </c>
      <c r="K228" t="e">
        <f t="shared" si="9"/>
        <v>#VALUE!</v>
      </c>
      <c r="L228" t="e">
        <f t="shared" si="10"/>
        <v>#VALUE!</v>
      </c>
    </row>
    <row r="229" spans="10:12" x14ac:dyDescent="0.2">
      <c r="J229" t="e">
        <f t="shared" si="11"/>
        <v>#VALUE!</v>
      </c>
      <c r="K229" t="e">
        <f t="shared" si="9"/>
        <v>#VALUE!</v>
      </c>
      <c r="L229" t="e">
        <f t="shared" si="10"/>
        <v>#VALUE!</v>
      </c>
    </row>
    <row r="230" spans="10:12" x14ac:dyDescent="0.2">
      <c r="J230" t="e">
        <f t="shared" si="11"/>
        <v>#VALUE!</v>
      </c>
      <c r="K230" t="e">
        <f t="shared" si="9"/>
        <v>#VALUE!</v>
      </c>
      <c r="L230" t="e">
        <f t="shared" si="10"/>
        <v>#VALUE!</v>
      </c>
    </row>
    <row r="231" spans="10:12" x14ac:dyDescent="0.2">
      <c r="J231" t="e">
        <f t="shared" si="11"/>
        <v>#VALUE!</v>
      </c>
      <c r="K231" t="e">
        <f t="shared" si="9"/>
        <v>#VALUE!</v>
      </c>
      <c r="L231" t="e">
        <f t="shared" si="10"/>
        <v>#VALUE!</v>
      </c>
    </row>
    <row r="232" spans="10:12" x14ac:dyDescent="0.2">
      <c r="J232" t="e">
        <f t="shared" si="11"/>
        <v>#VALUE!</v>
      </c>
      <c r="K232" t="e">
        <f t="shared" si="9"/>
        <v>#VALUE!</v>
      </c>
      <c r="L232" t="e">
        <f t="shared" si="10"/>
        <v>#VALUE!</v>
      </c>
    </row>
    <row r="233" spans="10:12" x14ac:dyDescent="0.2">
      <c r="J233" t="e">
        <f t="shared" si="11"/>
        <v>#VALUE!</v>
      </c>
      <c r="K233" t="e">
        <f t="shared" si="9"/>
        <v>#VALUE!</v>
      </c>
      <c r="L233" t="e">
        <f t="shared" si="10"/>
        <v>#VALUE!</v>
      </c>
    </row>
    <row r="234" spans="10:12" x14ac:dyDescent="0.2">
      <c r="J234" t="e">
        <f t="shared" si="11"/>
        <v>#VALUE!</v>
      </c>
      <c r="K234" t="e">
        <f t="shared" si="9"/>
        <v>#VALUE!</v>
      </c>
      <c r="L234" t="e">
        <f t="shared" si="10"/>
        <v>#VALUE!</v>
      </c>
    </row>
    <row r="235" spans="10:12" x14ac:dyDescent="0.2">
      <c r="J235" t="e">
        <f t="shared" si="11"/>
        <v>#VALUE!</v>
      </c>
      <c r="K235" t="e">
        <f t="shared" si="9"/>
        <v>#VALUE!</v>
      </c>
      <c r="L235" t="e">
        <f t="shared" si="10"/>
        <v>#VALUE!</v>
      </c>
    </row>
    <row r="236" spans="10:12" x14ac:dyDescent="0.2">
      <c r="J236" t="e">
        <f t="shared" si="11"/>
        <v>#VALUE!</v>
      </c>
      <c r="K236" t="e">
        <f t="shared" si="9"/>
        <v>#VALUE!</v>
      </c>
      <c r="L236" t="e">
        <f t="shared" si="10"/>
        <v>#VALUE!</v>
      </c>
    </row>
    <row r="237" spans="10:12" x14ac:dyDescent="0.2">
      <c r="J237" t="e">
        <f t="shared" si="11"/>
        <v>#VALUE!</v>
      </c>
      <c r="K237" t="e">
        <f t="shared" si="9"/>
        <v>#VALUE!</v>
      </c>
      <c r="L237" t="e">
        <f t="shared" si="10"/>
        <v>#VALUE!</v>
      </c>
    </row>
    <row r="238" spans="10:12" x14ac:dyDescent="0.2">
      <c r="J238" t="e">
        <f t="shared" si="11"/>
        <v>#VALUE!</v>
      </c>
      <c r="K238" t="e">
        <f t="shared" si="9"/>
        <v>#VALUE!</v>
      </c>
      <c r="L238" t="e">
        <f t="shared" si="10"/>
        <v>#VALUE!</v>
      </c>
    </row>
    <row r="239" spans="10:12" x14ac:dyDescent="0.2">
      <c r="J239" t="e">
        <f t="shared" si="11"/>
        <v>#VALUE!</v>
      </c>
      <c r="K239" t="e">
        <f t="shared" si="9"/>
        <v>#VALUE!</v>
      </c>
      <c r="L239" t="e">
        <f t="shared" si="10"/>
        <v>#VALUE!</v>
      </c>
    </row>
    <row r="240" spans="10:12" x14ac:dyDescent="0.2">
      <c r="J240" t="e">
        <f t="shared" si="11"/>
        <v>#VALUE!</v>
      </c>
      <c r="K240" t="e">
        <f t="shared" si="9"/>
        <v>#VALUE!</v>
      </c>
      <c r="L240" t="e">
        <f t="shared" si="10"/>
        <v>#VALUE!</v>
      </c>
    </row>
    <row r="241" spans="10:12" x14ac:dyDescent="0.2">
      <c r="J241" t="e">
        <f t="shared" si="11"/>
        <v>#VALUE!</v>
      </c>
      <c r="K241" t="e">
        <f t="shared" si="9"/>
        <v>#VALUE!</v>
      </c>
      <c r="L241" t="e">
        <f t="shared" si="10"/>
        <v>#VALUE!</v>
      </c>
    </row>
    <row r="242" spans="10:12" x14ac:dyDescent="0.2">
      <c r="J242" t="e">
        <f t="shared" si="11"/>
        <v>#VALUE!</v>
      </c>
      <c r="K242" t="e">
        <f t="shared" si="9"/>
        <v>#VALUE!</v>
      </c>
      <c r="L242" t="e">
        <f t="shared" si="10"/>
        <v>#VALUE!</v>
      </c>
    </row>
    <row r="243" spans="10:12" x14ac:dyDescent="0.2">
      <c r="J243" t="e">
        <f t="shared" si="11"/>
        <v>#VALUE!</v>
      </c>
      <c r="K243" t="e">
        <f t="shared" si="9"/>
        <v>#VALUE!</v>
      </c>
      <c r="L243" t="e">
        <f t="shared" si="10"/>
        <v>#VALUE!</v>
      </c>
    </row>
    <row r="244" spans="10:12" x14ac:dyDescent="0.2">
      <c r="J244" t="e">
        <f t="shared" si="11"/>
        <v>#VALUE!</v>
      </c>
      <c r="K244" t="e">
        <f t="shared" si="9"/>
        <v>#VALUE!</v>
      </c>
      <c r="L244" t="e">
        <f t="shared" si="10"/>
        <v>#VALUE!</v>
      </c>
    </row>
    <row r="245" spans="10:12" x14ac:dyDescent="0.2">
      <c r="J245" t="e">
        <f t="shared" si="11"/>
        <v>#VALUE!</v>
      </c>
      <c r="K245" t="e">
        <f t="shared" si="9"/>
        <v>#VALUE!</v>
      </c>
      <c r="L245" t="e">
        <f t="shared" si="10"/>
        <v>#VALUE!</v>
      </c>
    </row>
    <row r="246" spans="10:12" x14ac:dyDescent="0.2">
      <c r="J246" t="e">
        <f t="shared" si="11"/>
        <v>#VALUE!</v>
      </c>
      <c r="K246" t="e">
        <f t="shared" si="9"/>
        <v>#VALUE!</v>
      </c>
      <c r="L246" t="e">
        <f t="shared" si="10"/>
        <v>#VALUE!</v>
      </c>
    </row>
    <row r="247" spans="10:12" x14ac:dyDescent="0.2">
      <c r="J247" t="e">
        <f t="shared" si="11"/>
        <v>#VALUE!</v>
      </c>
      <c r="K247" t="e">
        <f t="shared" si="9"/>
        <v>#VALUE!</v>
      </c>
      <c r="L247" t="e">
        <f t="shared" si="10"/>
        <v>#VALUE!</v>
      </c>
    </row>
    <row r="248" spans="10:12" x14ac:dyDescent="0.2">
      <c r="J248" t="e">
        <f t="shared" si="11"/>
        <v>#VALUE!</v>
      </c>
      <c r="K248" t="e">
        <f t="shared" si="9"/>
        <v>#VALUE!</v>
      </c>
      <c r="L248" t="e">
        <f t="shared" si="10"/>
        <v>#VALUE!</v>
      </c>
    </row>
    <row r="249" spans="10:12" x14ac:dyDescent="0.2">
      <c r="J249" t="e">
        <f t="shared" si="11"/>
        <v>#VALUE!</v>
      </c>
      <c r="K249" t="e">
        <f t="shared" si="9"/>
        <v>#VALUE!</v>
      </c>
      <c r="L249" t="e">
        <f t="shared" si="10"/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13F1-0DCD-4B44-94F8-9D10718284EF}">
  <dimension ref="C2:L249"/>
  <sheetViews>
    <sheetView tabSelected="1" workbookViewId="0">
      <selection activeCell="N8" sqref="I8:N8"/>
    </sheetView>
  </sheetViews>
  <sheetFormatPr baseColWidth="10" defaultRowHeight="16" x14ac:dyDescent="0.2"/>
  <sheetData>
    <row r="2" spans="3:12" x14ac:dyDescent="0.2">
      <c r="D2" t="s">
        <v>6</v>
      </c>
    </row>
    <row r="3" spans="3:12" x14ac:dyDescent="0.2">
      <c r="C3" t="s">
        <v>296</v>
      </c>
      <c r="D3">
        <v>2.5000000000000001E-3</v>
      </c>
      <c r="J3" t="s">
        <v>311</v>
      </c>
      <c r="K3" t="s">
        <v>310</v>
      </c>
      <c r="L3" t="s">
        <v>304</v>
      </c>
    </row>
    <row r="4" spans="3:12" x14ac:dyDescent="0.2">
      <c r="C4" t="s">
        <v>297</v>
      </c>
      <c r="D4">
        <v>3.5000000000000003E-2</v>
      </c>
    </row>
    <row r="5" spans="3:12" x14ac:dyDescent="0.2">
      <c r="J5">
        <f>D6</f>
        <v>5.0000000000000002E-5</v>
      </c>
      <c r="K5">
        <f>J5*D$9/D$4</f>
        <v>1.4285714285714286</v>
      </c>
      <c r="L5">
        <f>J5*D$9/D$3</f>
        <v>20</v>
      </c>
    </row>
    <row r="6" spans="3:12" x14ac:dyDescent="0.2">
      <c r="C6" t="s">
        <v>305</v>
      </c>
      <c r="D6">
        <v>5.0000000000000002E-5</v>
      </c>
      <c r="J6">
        <f>J5+0.0001</f>
        <v>1.5000000000000001E-4</v>
      </c>
      <c r="K6">
        <f t="shared" ref="K6:K69" si="0">J6*D$9/D$4</f>
        <v>4.2857142857142856</v>
      </c>
      <c r="L6">
        <f t="shared" ref="L6:L69" si="1">J6*D$9/D$3</f>
        <v>60.000000000000007</v>
      </c>
    </row>
    <row r="7" spans="3:12" x14ac:dyDescent="0.2">
      <c r="C7" t="s">
        <v>306</v>
      </c>
      <c r="D7">
        <v>5.0000000000000001E-3</v>
      </c>
      <c r="J7">
        <f t="shared" ref="J7:J70" si="2">J6+0.0001</f>
        <v>2.5000000000000001E-4</v>
      </c>
      <c r="K7">
        <f t="shared" si="0"/>
        <v>7.1428571428571423</v>
      </c>
      <c r="L7">
        <f t="shared" si="1"/>
        <v>100</v>
      </c>
    </row>
    <row r="8" spans="3:12" x14ac:dyDescent="0.2">
      <c r="J8">
        <f t="shared" si="2"/>
        <v>3.5E-4</v>
      </c>
      <c r="K8">
        <f t="shared" si="0"/>
        <v>9.9999999999999982</v>
      </c>
      <c r="L8">
        <f t="shared" si="1"/>
        <v>140</v>
      </c>
    </row>
    <row r="9" spans="3:12" x14ac:dyDescent="0.2">
      <c r="C9" t="s">
        <v>307</v>
      </c>
      <c r="D9">
        <v>1000</v>
      </c>
      <c r="J9">
        <f t="shared" si="2"/>
        <v>4.4999999999999999E-4</v>
      </c>
      <c r="K9">
        <f t="shared" si="0"/>
        <v>12.857142857142856</v>
      </c>
      <c r="L9">
        <f t="shared" si="1"/>
        <v>180</v>
      </c>
    </row>
    <row r="10" spans="3:12" x14ac:dyDescent="0.2">
      <c r="J10">
        <f t="shared" si="2"/>
        <v>5.5000000000000003E-4</v>
      </c>
      <c r="K10">
        <f t="shared" si="0"/>
        <v>15.714285714285714</v>
      </c>
      <c r="L10">
        <f t="shared" si="1"/>
        <v>220</v>
      </c>
    </row>
    <row r="11" spans="3:12" x14ac:dyDescent="0.2">
      <c r="C11" t="s">
        <v>308</v>
      </c>
      <c r="D11">
        <v>10</v>
      </c>
      <c r="J11">
        <f t="shared" si="2"/>
        <v>6.5000000000000008E-4</v>
      </c>
      <c r="K11">
        <f t="shared" si="0"/>
        <v>18.571428571428573</v>
      </c>
      <c r="L11">
        <f t="shared" si="1"/>
        <v>260.00000000000006</v>
      </c>
    </row>
    <row r="12" spans="3:12" x14ac:dyDescent="0.2">
      <c r="J12">
        <f t="shared" si="2"/>
        <v>7.5000000000000012E-4</v>
      </c>
      <c r="K12">
        <f t="shared" si="0"/>
        <v>21.428571428571431</v>
      </c>
      <c r="L12">
        <f t="shared" si="1"/>
        <v>300.00000000000006</v>
      </c>
    </row>
    <row r="13" spans="3:12" x14ac:dyDescent="0.2">
      <c r="J13">
        <f t="shared" si="2"/>
        <v>8.5000000000000017E-4</v>
      </c>
      <c r="K13">
        <f t="shared" si="0"/>
        <v>24.285714285714288</v>
      </c>
      <c r="L13">
        <f t="shared" si="1"/>
        <v>340.00000000000006</v>
      </c>
    </row>
    <row r="14" spans="3:12" x14ac:dyDescent="0.2">
      <c r="J14">
        <f t="shared" si="2"/>
        <v>9.5000000000000021E-4</v>
      </c>
      <c r="K14">
        <f t="shared" si="0"/>
        <v>27.142857142857146</v>
      </c>
      <c r="L14">
        <f t="shared" si="1"/>
        <v>380.00000000000006</v>
      </c>
    </row>
    <row r="15" spans="3:12" x14ac:dyDescent="0.2">
      <c r="J15">
        <f t="shared" si="2"/>
        <v>1.0500000000000002E-3</v>
      </c>
      <c r="K15">
        <f t="shared" si="0"/>
        <v>30</v>
      </c>
      <c r="L15">
        <f t="shared" si="1"/>
        <v>420</v>
      </c>
    </row>
    <row r="16" spans="3:12" x14ac:dyDescent="0.2">
      <c r="J16">
        <f t="shared" si="2"/>
        <v>1.1500000000000002E-3</v>
      </c>
      <c r="K16">
        <f t="shared" si="0"/>
        <v>32.857142857142861</v>
      </c>
      <c r="L16">
        <f t="shared" si="1"/>
        <v>460.00000000000006</v>
      </c>
    </row>
    <row r="17" spans="10:12" x14ac:dyDescent="0.2">
      <c r="J17">
        <f t="shared" si="2"/>
        <v>1.2500000000000002E-3</v>
      </c>
      <c r="K17">
        <f t="shared" si="0"/>
        <v>35.714285714285715</v>
      </c>
      <c r="L17">
        <f t="shared" si="1"/>
        <v>500.00000000000006</v>
      </c>
    </row>
    <row r="18" spans="10:12" x14ac:dyDescent="0.2">
      <c r="J18">
        <f t="shared" si="2"/>
        <v>1.3500000000000003E-3</v>
      </c>
      <c r="K18">
        <f t="shared" si="0"/>
        <v>38.571428571428577</v>
      </c>
      <c r="L18">
        <f t="shared" si="1"/>
        <v>540.00000000000011</v>
      </c>
    </row>
    <row r="19" spans="10:12" x14ac:dyDescent="0.2">
      <c r="J19">
        <f t="shared" si="2"/>
        <v>1.4500000000000003E-3</v>
      </c>
      <c r="K19">
        <f t="shared" si="0"/>
        <v>41.428571428571438</v>
      </c>
      <c r="L19">
        <f t="shared" si="1"/>
        <v>580.00000000000011</v>
      </c>
    </row>
    <row r="20" spans="10:12" x14ac:dyDescent="0.2">
      <c r="J20">
        <f t="shared" si="2"/>
        <v>1.5500000000000004E-3</v>
      </c>
      <c r="K20">
        <f t="shared" si="0"/>
        <v>44.285714285714299</v>
      </c>
      <c r="L20">
        <f t="shared" si="1"/>
        <v>620.00000000000023</v>
      </c>
    </row>
    <row r="21" spans="10:12" x14ac:dyDescent="0.2">
      <c r="J21">
        <f t="shared" si="2"/>
        <v>1.6500000000000004E-3</v>
      </c>
      <c r="K21">
        <f t="shared" si="0"/>
        <v>47.142857142857146</v>
      </c>
      <c r="L21">
        <f t="shared" si="1"/>
        <v>660.00000000000011</v>
      </c>
    </row>
    <row r="22" spans="10:12" x14ac:dyDescent="0.2">
      <c r="J22">
        <f t="shared" si="2"/>
        <v>1.7500000000000005E-3</v>
      </c>
      <c r="K22">
        <f t="shared" si="0"/>
        <v>50.000000000000007</v>
      </c>
      <c r="L22">
        <f t="shared" si="1"/>
        <v>700.00000000000011</v>
      </c>
    </row>
    <row r="23" spans="10:12" x14ac:dyDescent="0.2">
      <c r="J23">
        <f t="shared" si="2"/>
        <v>1.8500000000000005E-3</v>
      </c>
      <c r="K23">
        <f t="shared" si="0"/>
        <v>52.857142857142868</v>
      </c>
      <c r="L23">
        <f t="shared" si="1"/>
        <v>740.00000000000023</v>
      </c>
    </row>
    <row r="24" spans="10:12" x14ac:dyDescent="0.2">
      <c r="J24">
        <f t="shared" si="2"/>
        <v>1.9500000000000006E-3</v>
      </c>
      <c r="K24">
        <f t="shared" si="0"/>
        <v>55.71428571428573</v>
      </c>
      <c r="L24">
        <f t="shared" si="1"/>
        <v>780.00000000000023</v>
      </c>
    </row>
    <row r="25" spans="10:12" x14ac:dyDescent="0.2">
      <c r="J25">
        <f t="shared" si="2"/>
        <v>2.0500000000000006E-3</v>
      </c>
      <c r="K25">
        <f t="shared" si="0"/>
        <v>58.571428571428584</v>
      </c>
      <c r="L25">
        <f t="shared" si="1"/>
        <v>820.00000000000023</v>
      </c>
    </row>
    <row r="26" spans="10:12" x14ac:dyDescent="0.2">
      <c r="J26">
        <f t="shared" si="2"/>
        <v>2.1500000000000004E-3</v>
      </c>
      <c r="K26">
        <f t="shared" si="0"/>
        <v>61.428571428571431</v>
      </c>
      <c r="L26">
        <f t="shared" si="1"/>
        <v>860.00000000000011</v>
      </c>
    </row>
    <row r="27" spans="10:12" x14ac:dyDescent="0.2">
      <c r="J27">
        <f t="shared" si="2"/>
        <v>2.2500000000000003E-3</v>
      </c>
      <c r="K27">
        <f t="shared" si="0"/>
        <v>64.285714285714292</v>
      </c>
      <c r="L27">
        <f t="shared" si="1"/>
        <v>900.00000000000011</v>
      </c>
    </row>
    <row r="28" spans="10:12" x14ac:dyDescent="0.2">
      <c r="J28">
        <f t="shared" si="2"/>
        <v>2.3500000000000001E-3</v>
      </c>
      <c r="K28">
        <f t="shared" si="0"/>
        <v>67.142857142857139</v>
      </c>
      <c r="L28">
        <f t="shared" si="1"/>
        <v>940</v>
      </c>
    </row>
    <row r="29" spans="10:12" x14ac:dyDescent="0.2">
      <c r="J29">
        <f t="shared" si="2"/>
        <v>2.4499999999999999E-3</v>
      </c>
      <c r="K29">
        <f t="shared" si="0"/>
        <v>69.999999999999986</v>
      </c>
      <c r="L29">
        <f t="shared" si="1"/>
        <v>979.99999999999989</v>
      </c>
    </row>
    <row r="30" spans="10:12" x14ac:dyDescent="0.2">
      <c r="J30">
        <f t="shared" si="2"/>
        <v>2.5499999999999997E-3</v>
      </c>
      <c r="K30">
        <f t="shared" si="0"/>
        <v>72.857142857142847</v>
      </c>
      <c r="L30">
        <f t="shared" si="1"/>
        <v>1019.9999999999999</v>
      </c>
    </row>
    <row r="31" spans="10:12" x14ac:dyDescent="0.2">
      <c r="J31">
        <f t="shared" si="2"/>
        <v>2.6499999999999996E-3</v>
      </c>
      <c r="K31">
        <f t="shared" si="0"/>
        <v>75.714285714285694</v>
      </c>
      <c r="L31">
        <f t="shared" si="1"/>
        <v>1059.9999999999998</v>
      </c>
    </row>
    <row r="32" spans="10:12" x14ac:dyDescent="0.2">
      <c r="J32">
        <f t="shared" si="2"/>
        <v>2.7499999999999994E-3</v>
      </c>
      <c r="K32">
        <f t="shared" si="0"/>
        <v>78.571428571428555</v>
      </c>
      <c r="L32">
        <f t="shared" si="1"/>
        <v>1099.9999999999998</v>
      </c>
    </row>
    <row r="33" spans="10:12" x14ac:dyDescent="0.2">
      <c r="J33">
        <f t="shared" si="2"/>
        <v>2.8499999999999992E-3</v>
      </c>
      <c r="K33">
        <f t="shared" si="0"/>
        <v>81.428571428571402</v>
      </c>
      <c r="L33">
        <f t="shared" si="1"/>
        <v>1139.9999999999995</v>
      </c>
    </row>
    <row r="34" spans="10:12" x14ac:dyDescent="0.2">
      <c r="J34">
        <f t="shared" si="2"/>
        <v>2.9499999999999991E-3</v>
      </c>
      <c r="K34">
        <f t="shared" si="0"/>
        <v>84.285714285714249</v>
      </c>
      <c r="L34">
        <f t="shared" si="1"/>
        <v>1179.9999999999995</v>
      </c>
    </row>
    <row r="35" spans="10:12" x14ac:dyDescent="0.2">
      <c r="J35">
        <f t="shared" si="2"/>
        <v>3.0499999999999989E-3</v>
      </c>
      <c r="K35">
        <f t="shared" si="0"/>
        <v>87.14285714285711</v>
      </c>
      <c r="L35">
        <f t="shared" si="1"/>
        <v>1219.9999999999995</v>
      </c>
    </row>
    <row r="36" spans="10:12" x14ac:dyDescent="0.2">
      <c r="J36">
        <f t="shared" si="2"/>
        <v>3.1499999999999987E-3</v>
      </c>
      <c r="K36">
        <f t="shared" si="0"/>
        <v>89.999999999999957</v>
      </c>
      <c r="L36">
        <f t="shared" si="1"/>
        <v>1259.9999999999993</v>
      </c>
    </row>
    <row r="37" spans="10:12" x14ac:dyDescent="0.2">
      <c r="J37">
        <f t="shared" si="2"/>
        <v>3.2499999999999985E-3</v>
      </c>
      <c r="K37">
        <f t="shared" si="0"/>
        <v>92.857142857142804</v>
      </c>
      <c r="L37">
        <f t="shared" si="1"/>
        <v>1299.9999999999995</v>
      </c>
    </row>
    <row r="38" spans="10:12" x14ac:dyDescent="0.2">
      <c r="J38">
        <f t="shared" si="2"/>
        <v>3.3499999999999984E-3</v>
      </c>
      <c r="K38">
        <f t="shared" si="0"/>
        <v>95.714285714285651</v>
      </c>
      <c r="L38">
        <f t="shared" si="1"/>
        <v>1339.9999999999993</v>
      </c>
    </row>
    <row r="39" spans="10:12" x14ac:dyDescent="0.2">
      <c r="J39">
        <f t="shared" si="2"/>
        <v>3.4499999999999982E-3</v>
      </c>
      <c r="K39">
        <f t="shared" si="0"/>
        <v>98.571428571428513</v>
      </c>
      <c r="L39">
        <f t="shared" si="1"/>
        <v>1379.9999999999993</v>
      </c>
    </row>
    <row r="40" spans="10:12" x14ac:dyDescent="0.2">
      <c r="J40">
        <f t="shared" si="2"/>
        <v>3.549999999999998E-3</v>
      </c>
      <c r="K40">
        <f t="shared" si="0"/>
        <v>101.42857142857136</v>
      </c>
      <c r="L40">
        <f t="shared" si="1"/>
        <v>1419.9999999999991</v>
      </c>
    </row>
    <row r="41" spans="10:12" x14ac:dyDescent="0.2">
      <c r="J41">
        <f t="shared" si="2"/>
        <v>3.6499999999999979E-3</v>
      </c>
      <c r="K41">
        <f t="shared" si="0"/>
        <v>104.28571428571421</v>
      </c>
      <c r="L41">
        <f t="shared" si="1"/>
        <v>1459.9999999999991</v>
      </c>
    </row>
    <row r="42" spans="10:12" x14ac:dyDescent="0.2">
      <c r="J42">
        <f t="shared" si="2"/>
        <v>3.7499999999999977E-3</v>
      </c>
      <c r="K42">
        <f t="shared" si="0"/>
        <v>107.14285714285707</v>
      </c>
      <c r="L42">
        <f t="shared" si="1"/>
        <v>1499.9999999999991</v>
      </c>
    </row>
    <row r="43" spans="10:12" x14ac:dyDescent="0.2">
      <c r="J43">
        <f t="shared" si="2"/>
        <v>3.8499999999999975E-3</v>
      </c>
      <c r="K43">
        <f t="shared" si="0"/>
        <v>109.99999999999991</v>
      </c>
      <c r="L43">
        <f t="shared" si="1"/>
        <v>1539.9999999999989</v>
      </c>
    </row>
    <row r="44" spans="10:12" x14ac:dyDescent="0.2">
      <c r="J44">
        <f t="shared" si="2"/>
        <v>3.9499999999999978E-3</v>
      </c>
      <c r="K44">
        <f t="shared" si="0"/>
        <v>112.85714285714279</v>
      </c>
      <c r="L44">
        <f t="shared" si="1"/>
        <v>1579.9999999999991</v>
      </c>
    </row>
    <row r="45" spans="10:12" x14ac:dyDescent="0.2">
      <c r="J45">
        <f t="shared" si="2"/>
        <v>4.049999999999998E-3</v>
      </c>
      <c r="K45">
        <f t="shared" si="0"/>
        <v>115.71428571428565</v>
      </c>
      <c r="L45">
        <f t="shared" si="1"/>
        <v>1619.9999999999991</v>
      </c>
    </row>
    <row r="46" spans="10:12" x14ac:dyDescent="0.2">
      <c r="J46">
        <f t="shared" si="2"/>
        <v>4.1499999999999983E-3</v>
      </c>
      <c r="K46">
        <f t="shared" si="0"/>
        <v>118.57142857142851</v>
      </c>
      <c r="L46">
        <f t="shared" si="1"/>
        <v>1659.9999999999993</v>
      </c>
    </row>
    <row r="47" spans="10:12" x14ac:dyDescent="0.2">
      <c r="J47">
        <f t="shared" si="2"/>
        <v>4.2499999999999986E-3</v>
      </c>
      <c r="K47">
        <f t="shared" si="0"/>
        <v>121.42857142857136</v>
      </c>
      <c r="L47">
        <f t="shared" si="1"/>
        <v>1699.9999999999993</v>
      </c>
    </row>
    <row r="48" spans="10:12" x14ac:dyDescent="0.2">
      <c r="J48">
        <f t="shared" si="2"/>
        <v>4.3499999999999988E-3</v>
      </c>
      <c r="K48">
        <f t="shared" si="0"/>
        <v>124.28571428571423</v>
      </c>
      <c r="L48">
        <f t="shared" si="1"/>
        <v>1739.9999999999995</v>
      </c>
    </row>
    <row r="49" spans="10:12" x14ac:dyDescent="0.2">
      <c r="J49">
        <f t="shared" si="2"/>
        <v>4.4499999999999991E-3</v>
      </c>
      <c r="K49">
        <f t="shared" si="0"/>
        <v>127.14285714285711</v>
      </c>
      <c r="L49">
        <f t="shared" si="1"/>
        <v>1779.9999999999998</v>
      </c>
    </row>
    <row r="50" spans="10:12" x14ac:dyDescent="0.2">
      <c r="J50">
        <f t="shared" si="2"/>
        <v>4.5499999999999994E-3</v>
      </c>
      <c r="K50">
        <f t="shared" si="0"/>
        <v>129.99999999999994</v>
      </c>
      <c r="L50">
        <f t="shared" si="1"/>
        <v>1819.9999999999995</v>
      </c>
    </row>
    <row r="51" spans="10:12" x14ac:dyDescent="0.2">
      <c r="J51">
        <f t="shared" si="2"/>
        <v>4.6499999999999996E-3</v>
      </c>
      <c r="K51">
        <f t="shared" si="0"/>
        <v>132.85714285714283</v>
      </c>
      <c r="L51">
        <f t="shared" si="1"/>
        <v>1859.9999999999998</v>
      </c>
    </row>
    <row r="52" spans="10:12" x14ac:dyDescent="0.2">
      <c r="J52">
        <f t="shared" si="2"/>
        <v>4.7499999999999999E-3</v>
      </c>
      <c r="K52">
        <f t="shared" si="0"/>
        <v>135.71428571428569</v>
      </c>
      <c r="L52">
        <f t="shared" si="1"/>
        <v>1900</v>
      </c>
    </row>
    <row r="53" spans="10:12" x14ac:dyDescent="0.2">
      <c r="J53">
        <f t="shared" si="2"/>
        <v>4.8500000000000001E-3</v>
      </c>
      <c r="K53">
        <f t="shared" si="0"/>
        <v>138.57142857142858</v>
      </c>
      <c r="L53">
        <f t="shared" si="1"/>
        <v>1940.0000000000002</v>
      </c>
    </row>
    <row r="54" spans="10:12" x14ac:dyDescent="0.2">
      <c r="J54">
        <f t="shared" si="2"/>
        <v>4.9500000000000004E-3</v>
      </c>
      <c r="K54">
        <f t="shared" si="0"/>
        <v>141.42857142857142</v>
      </c>
      <c r="L54">
        <f t="shared" si="1"/>
        <v>1980</v>
      </c>
    </row>
    <row r="55" spans="10:12" x14ac:dyDescent="0.2">
      <c r="J55">
        <f t="shared" si="2"/>
        <v>5.0500000000000007E-3</v>
      </c>
      <c r="K55">
        <f t="shared" si="0"/>
        <v>144.28571428571431</v>
      </c>
      <c r="L55">
        <f t="shared" si="1"/>
        <v>2020.0000000000002</v>
      </c>
    </row>
    <row r="56" spans="10:12" x14ac:dyDescent="0.2">
      <c r="J56">
        <f t="shared" si="2"/>
        <v>5.1500000000000009E-3</v>
      </c>
      <c r="K56">
        <f t="shared" si="0"/>
        <v>147.14285714285717</v>
      </c>
      <c r="L56">
        <f t="shared" si="1"/>
        <v>2060.0000000000005</v>
      </c>
    </row>
    <row r="57" spans="10:12" x14ac:dyDescent="0.2">
      <c r="J57" t="s">
        <v>285</v>
      </c>
      <c r="K57" t="e">
        <f t="shared" si="0"/>
        <v>#VALUE!</v>
      </c>
      <c r="L57" t="e">
        <f t="shared" si="1"/>
        <v>#VALUE!</v>
      </c>
    </row>
    <row r="58" spans="10:12" x14ac:dyDescent="0.2">
      <c r="J58" t="e">
        <f t="shared" si="2"/>
        <v>#VALUE!</v>
      </c>
      <c r="K58" t="e">
        <f t="shared" si="0"/>
        <v>#VALUE!</v>
      </c>
      <c r="L58" t="e">
        <f t="shared" si="1"/>
        <v>#VALUE!</v>
      </c>
    </row>
    <row r="59" spans="10:12" x14ac:dyDescent="0.2">
      <c r="J59" t="e">
        <f t="shared" si="2"/>
        <v>#VALUE!</v>
      </c>
      <c r="K59" t="e">
        <f t="shared" si="0"/>
        <v>#VALUE!</v>
      </c>
      <c r="L59" t="e">
        <f t="shared" si="1"/>
        <v>#VALUE!</v>
      </c>
    </row>
    <row r="60" spans="10:12" x14ac:dyDescent="0.2">
      <c r="J60" t="e">
        <f t="shared" si="2"/>
        <v>#VALUE!</v>
      </c>
      <c r="K60" t="e">
        <f t="shared" si="0"/>
        <v>#VALUE!</v>
      </c>
      <c r="L60" t="e">
        <f t="shared" si="1"/>
        <v>#VALUE!</v>
      </c>
    </row>
    <row r="61" spans="10:12" x14ac:dyDescent="0.2">
      <c r="J61" t="e">
        <f t="shared" si="2"/>
        <v>#VALUE!</v>
      </c>
      <c r="K61" t="e">
        <f t="shared" si="0"/>
        <v>#VALUE!</v>
      </c>
      <c r="L61" t="e">
        <f t="shared" si="1"/>
        <v>#VALUE!</v>
      </c>
    </row>
    <row r="62" spans="10:12" x14ac:dyDescent="0.2">
      <c r="J62" t="e">
        <f t="shared" si="2"/>
        <v>#VALUE!</v>
      </c>
      <c r="K62" t="e">
        <f t="shared" si="0"/>
        <v>#VALUE!</v>
      </c>
      <c r="L62" t="e">
        <f t="shared" si="1"/>
        <v>#VALUE!</v>
      </c>
    </row>
    <row r="63" spans="10:12" x14ac:dyDescent="0.2">
      <c r="J63" t="e">
        <f t="shared" si="2"/>
        <v>#VALUE!</v>
      </c>
      <c r="K63" t="e">
        <f t="shared" si="0"/>
        <v>#VALUE!</v>
      </c>
      <c r="L63" t="e">
        <f t="shared" si="1"/>
        <v>#VALUE!</v>
      </c>
    </row>
    <row r="64" spans="10:12" x14ac:dyDescent="0.2">
      <c r="J64" t="e">
        <f t="shared" si="2"/>
        <v>#VALUE!</v>
      </c>
      <c r="K64" t="e">
        <f t="shared" si="0"/>
        <v>#VALUE!</v>
      </c>
      <c r="L64" t="e">
        <f t="shared" si="1"/>
        <v>#VALUE!</v>
      </c>
    </row>
    <row r="65" spans="10:12" x14ac:dyDescent="0.2">
      <c r="J65" t="e">
        <f t="shared" si="2"/>
        <v>#VALUE!</v>
      </c>
      <c r="K65" t="e">
        <f t="shared" si="0"/>
        <v>#VALUE!</v>
      </c>
      <c r="L65" t="e">
        <f t="shared" si="1"/>
        <v>#VALUE!</v>
      </c>
    </row>
    <row r="66" spans="10:12" x14ac:dyDescent="0.2">
      <c r="J66" t="e">
        <f t="shared" si="2"/>
        <v>#VALUE!</v>
      </c>
      <c r="K66" t="e">
        <f t="shared" si="0"/>
        <v>#VALUE!</v>
      </c>
      <c r="L66" t="e">
        <f t="shared" si="1"/>
        <v>#VALUE!</v>
      </c>
    </row>
    <row r="67" spans="10:12" x14ac:dyDescent="0.2">
      <c r="J67" t="e">
        <f t="shared" si="2"/>
        <v>#VALUE!</v>
      </c>
      <c r="K67" t="e">
        <f t="shared" si="0"/>
        <v>#VALUE!</v>
      </c>
      <c r="L67" t="e">
        <f t="shared" si="1"/>
        <v>#VALUE!</v>
      </c>
    </row>
    <row r="68" spans="10:12" x14ac:dyDescent="0.2">
      <c r="J68" t="e">
        <f t="shared" si="2"/>
        <v>#VALUE!</v>
      </c>
      <c r="K68" t="e">
        <f t="shared" si="0"/>
        <v>#VALUE!</v>
      </c>
      <c r="L68" t="e">
        <f t="shared" si="1"/>
        <v>#VALUE!</v>
      </c>
    </row>
    <row r="69" spans="10:12" x14ac:dyDescent="0.2">
      <c r="J69" t="e">
        <f t="shared" si="2"/>
        <v>#VALUE!</v>
      </c>
      <c r="K69" t="e">
        <f t="shared" si="0"/>
        <v>#VALUE!</v>
      </c>
      <c r="L69" t="e">
        <f t="shared" si="1"/>
        <v>#VALUE!</v>
      </c>
    </row>
    <row r="70" spans="10:12" x14ac:dyDescent="0.2">
      <c r="J70" t="e">
        <f t="shared" si="2"/>
        <v>#VALUE!</v>
      </c>
      <c r="K70" t="e">
        <f t="shared" ref="K70:K133" si="3">J70*D$9/D$4</f>
        <v>#VALUE!</v>
      </c>
      <c r="L70" t="e">
        <f t="shared" ref="L70:L133" si="4">J70*D$9/D$3</f>
        <v>#VALUE!</v>
      </c>
    </row>
    <row r="71" spans="10:12" x14ac:dyDescent="0.2">
      <c r="J71" t="e">
        <f t="shared" ref="J71:J134" si="5">J70+0.0001</f>
        <v>#VALUE!</v>
      </c>
      <c r="K71" t="e">
        <f t="shared" si="3"/>
        <v>#VALUE!</v>
      </c>
      <c r="L71" t="e">
        <f t="shared" si="4"/>
        <v>#VALUE!</v>
      </c>
    </row>
    <row r="72" spans="10:12" x14ac:dyDescent="0.2">
      <c r="J72" t="e">
        <f t="shared" si="5"/>
        <v>#VALUE!</v>
      </c>
      <c r="K72" t="e">
        <f t="shared" si="3"/>
        <v>#VALUE!</v>
      </c>
      <c r="L72" t="e">
        <f t="shared" si="4"/>
        <v>#VALUE!</v>
      </c>
    </row>
    <row r="73" spans="10:12" x14ac:dyDescent="0.2">
      <c r="J73" t="e">
        <f t="shared" si="5"/>
        <v>#VALUE!</v>
      </c>
      <c r="K73" t="e">
        <f t="shared" si="3"/>
        <v>#VALUE!</v>
      </c>
      <c r="L73" t="e">
        <f t="shared" si="4"/>
        <v>#VALUE!</v>
      </c>
    </row>
    <row r="74" spans="10:12" x14ac:dyDescent="0.2">
      <c r="J74" t="e">
        <f t="shared" si="5"/>
        <v>#VALUE!</v>
      </c>
      <c r="K74" t="e">
        <f t="shared" si="3"/>
        <v>#VALUE!</v>
      </c>
      <c r="L74" t="e">
        <f t="shared" si="4"/>
        <v>#VALUE!</v>
      </c>
    </row>
    <row r="75" spans="10:12" x14ac:dyDescent="0.2">
      <c r="J75" t="e">
        <f t="shared" si="5"/>
        <v>#VALUE!</v>
      </c>
      <c r="K75" t="e">
        <f t="shared" si="3"/>
        <v>#VALUE!</v>
      </c>
      <c r="L75" t="e">
        <f t="shared" si="4"/>
        <v>#VALUE!</v>
      </c>
    </row>
    <row r="76" spans="10:12" x14ac:dyDescent="0.2">
      <c r="J76" t="e">
        <f t="shared" si="5"/>
        <v>#VALUE!</v>
      </c>
      <c r="K76" t="e">
        <f t="shared" si="3"/>
        <v>#VALUE!</v>
      </c>
      <c r="L76" t="e">
        <f t="shared" si="4"/>
        <v>#VALUE!</v>
      </c>
    </row>
    <row r="77" spans="10:12" x14ac:dyDescent="0.2">
      <c r="J77" t="e">
        <f t="shared" si="5"/>
        <v>#VALUE!</v>
      </c>
      <c r="K77" t="e">
        <f t="shared" si="3"/>
        <v>#VALUE!</v>
      </c>
      <c r="L77" t="e">
        <f t="shared" si="4"/>
        <v>#VALUE!</v>
      </c>
    </row>
    <row r="78" spans="10:12" x14ac:dyDescent="0.2">
      <c r="J78" t="e">
        <f t="shared" si="5"/>
        <v>#VALUE!</v>
      </c>
      <c r="K78" t="e">
        <f t="shared" si="3"/>
        <v>#VALUE!</v>
      </c>
      <c r="L78" t="e">
        <f t="shared" si="4"/>
        <v>#VALUE!</v>
      </c>
    </row>
    <row r="79" spans="10:12" x14ac:dyDescent="0.2">
      <c r="J79" t="e">
        <f t="shared" si="5"/>
        <v>#VALUE!</v>
      </c>
      <c r="K79" t="e">
        <f t="shared" si="3"/>
        <v>#VALUE!</v>
      </c>
      <c r="L79" t="e">
        <f t="shared" si="4"/>
        <v>#VALUE!</v>
      </c>
    </row>
    <row r="80" spans="10:12" x14ac:dyDescent="0.2">
      <c r="J80" t="e">
        <f t="shared" si="5"/>
        <v>#VALUE!</v>
      </c>
      <c r="K80" t="e">
        <f t="shared" si="3"/>
        <v>#VALUE!</v>
      </c>
      <c r="L80" t="e">
        <f t="shared" si="4"/>
        <v>#VALUE!</v>
      </c>
    </row>
    <row r="81" spans="10:12" x14ac:dyDescent="0.2">
      <c r="J81" t="e">
        <f t="shared" si="5"/>
        <v>#VALUE!</v>
      </c>
      <c r="K81" t="e">
        <f t="shared" si="3"/>
        <v>#VALUE!</v>
      </c>
      <c r="L81" t="e">
        <f t="shared" si="4"/>
        <v>#VALUE!</v>
      </c>
    </row>
    <row r="82" spans="10:12" x14ac:dyDescent="0.2">
      <c r="J82" t="e">
        <f t="shared" si="5"/>
        <v>#VALUE!</v>
      </c>
      <c r="K82" t="e">
        <f t="shared" si="3"/>
        <v>#VALUE!</v>
      </c>
      <c r="L82" t="e">
        <f t="shared" si="4"/>
        <v>#VALUE!</v>
      </c>
    </row>
    <row r="83" spans="10:12" x14ac:dyDescent="0.2">
      <c r="J83" t="e">
        <f t="shared" si="5"/>
        <v>#VALUE!</v>
      </c>
      <c r="K83" t="e">
        <f t="shared" si="3"/>
        <v>#VALUE!</v>
      </c>
      <c r="L83" t="e">
        <f t="shared" si="4"/>
        <v>#VALUE!</v>
      </c>
    </row>
    <row r="84" spans="10:12" x14ac:dyDescent="0.2">
      <c r="J84" t="e">
        <f t="shared" si="5"/>
        <v>#VALUE!</v>
      </c>
      <c r="K84" t="e">
        <f t="shared" si="3"/>
        <v>#VALUE!</v>
      </c>
      <c r="L84" t="e">
        <f t="shared" si="4"/>
        <v>#VALUE!</v>
      </c>
    </row>
    <row r="85" spans="10:12" x14ac:dyDescent="0.2">
      <c r="J85" t="e">
        <f t="shared" si="5"/>
        <v>#VALUE!</v>
      </c>
      <c r="K85" t="e">
        <f t="shared" si="3"/>
        <v>#VALUE!</v>
      </c>
      <c r="L85" t="e">
        <f t="shared" si="4"/>
        <v>#VALUE!</v>
      </c>
    </row>
    <row r="86" spans="10:12" x14ac:dyDescent="0.2">
      <c r="J86" t="e">
        <f t="shared" si="5"/>
        <v>#VALUE!</v>
      </c>
      <c r="K86" t="e">
        <f t="shared" si="3"/>
        <v>#VALUE!</v>
      </c>
      <c r="L86" t="e">
        <f t="shared" si="4"/>
        <v>#VALUE!</v>
      </c>
    </row>
    <row r="87" spans="10:12" x14ac:dyDescent="0.2">
      <c r="J87" t="e">
        <f t="shared" si="5"/>
        <v>#VALUE!</v>
      </c>
      <c r="K87" t="e">
        <f t="shared" si="3"/>
        <v>#VALUE!</v>
      </c>
      <c r="L87" t="e">
        <f t="shared" si="4"/>
        <v>#VALUE!</v>
      </c>
    </row>
    <row r="88" spans="10:12" x14ac:dyDescent="0.2">
      <c r="J88" t="e">
        <f t="shared" si="5"/>
        <v>#VALUE!</v>
      </c>
      <c r="K88" t="e">
        <f t="shared" si="3"/>
        <v>#VALUE!</v>
      </c>
      <c r="L88" t="e">
        <f t="shared" si="4"/>
        <v>#VALUE!</v>
      </c>
    </row>
    <row r="89" spans="10:12" x14ac:dyDescent="0.2">
      <c r="J89" t="e">
        <f t="shared" si="5"/>
        <v>#VALUE!</v>
      </c>
      <c r="K89" t="e">
        <f t="shared" si="3"/>
        <v>#VALUE!</v>
      </c>
      <c r="L89" t="e">
        <f t="shared" si="4"/>
        <v>#VALUE!</v>
      </c>
    </row>
    <row r="90" spans="10:12" x14ac:dyDescent="0.2">
      <c r="J90" t="e">
        <f t="shared" si="5"/>
        <v>#VALUE!</v>
      </c>
      <c r="K90" t="e">
        <f t="shared" si="3"/>
        <v>#VALUE!</v>
      </c>
      <c r="L90" t="e">
        <f t="shared" si="4"/>
        <v>#VALUE!</v>
      </c>
    </row>
    <row r="91" spans="10:12" x14ac:dyDescent="0.2">
      <c r="J91" t="e">
        <f t="shared" si="5"/>
        <v>#VALUE!</v>
      </c>
      <c r="K91" t="e">
        <f t="shared" si="3"/>
        <v>#VALUE!</v>
      </c>
      <c r="L91" t="e">
        <f t="shared" si="4"/>
        <v>#VALUE!</v>
      </c>
    </row>
    <row r="92" spans="10:12" x14ac:dyDescent="0.2">
      <c r="J92" t="e">
        <f t="shared" si="5"/>
        <v>#VALUE!</v>
      </c>
      <c r="K92" t="e">
        <f t="shared" si="3"/>
        <v>#VALUE!</v>
      </c>
      <c r="L92" t="e">
        <f t="shared" si="4"/>
        <v>#VALUE!</v>
      </c>
    </row>
    <row r="93" spans="10:12" x14ac:dyDescent="0.2">
      <c r="J93" t="e">
        <f t="shared" si="5"/>
        <v>#VALUE!</v>
      </c>
      <c r="K93" t="e">
        <f t="shared" si="3"/>
        <v>#VALUE!</v>
      </c>
      <c r="L93" t="e">
        <f t="shared" si="4"/>
        <v>#VALUE!</v>
      </c>
    </row>
    <row r="94" spans="10:12" x14ac:dyDescent="0.2">
      <c r="J94" t="e">
        <f t="shared" si="5"/>
        <v>#VALUE!</v>
      </c>
      <c r="K94" t="e">
        <f t="shared" si="3"/>
        <v>#VALUE!</v>
      </c>
      <c r="L94" t="e">
        <f t="shared" si="4"/>
        <v>#VALUE!</v>
      </c>
    </row>
    <row r="95" spans="10:12" x14ac:dyDescent="0.2">
      <c r="J95" t="e">
        <f t="shared" si="5"/>
        <v>#VALUE!</v>
      </c>
      <c r="K95" t="e">
        <f t="shared" si="3"/>
        <v>#VALUE!</v>
      </c>
      <c r="L95" t="e">
        <f t="shared" si="4"/>
        <v>#VALUE!</v>
      </c>
    </row>
    <row r="96" spans="10:12" x14ac:dyDescent="0.2">
      <c r="J96" t="e">
        <f t="shared" si="5"/>
        <v>#VALUE!</v>
      </c>
      <c r="K96" t="e">
        <f t="shared" si="3"/>
        <v>#VALUE!</v>
      </c>
      <c r="L96" t="e">
        <f t="shared" si="4"/>
        <v>#VALUE!</v>
      </c>
    </row>
    <row r="97" spans="10:12" x14ac:dyDescent="0.2">
      <c r="J97" t="e">
        <f t="shared" si="5"/>
        <v>#VALUE!</v>
      </c>
      <c r="K97" t="e">
        <f t="shared" si="3"/>
        <v>#VALUE!</v>
      </c>
      <c r="L97" t="e">
        <f t="shared" si="4"/>
        <v>#VALUE!</v>
      </c>
    </row>
    <row r="98" spans="10:12" x14ac:dyDescent="0.2">
      <c r="J98" t="e">
        <f t="shared" si="5"/>
        <v>#VALUE!</v>
      </c>
      <c r="K98" t="e">
        <f t="shared" si="3"/>
        <v>#VALUE!</v>
      </c>
      <c r="L98" t="e">
        <f t="shared" si="4"/>
        <v>#VALUE!</v>
      </c>
    </row>
    <row r="99" spans="10:12" x14ac:dyDescent="0.2">
      <c r="J99" t="e">
        <f t="shared" si="5"/>
        <v>#VALUE!</v>
      </c>
      <c r="K99" t="e">
        <f t="shared" si="3"/>
        <v>#VALUE!</v>
      </c>
      <c r="L99" t="e">
        <f t="shared" si="4"/>
        <v>#VALUE!</v>
      </c>
    </row>
    <row r="100" spans="10:12" x14ac:dyDescent="0.2">
      <c r="J100" t="e">
        <f t="shared" si="5"/>
        <v>#VALUE!</v>
      </c>
      <c r="K100" t="e">
        <f t="shared" si="3"/>
        <v>#VALUE!</v>
      </c>
      <c r="L100" t="e">
        <f t="shared" si="4"/>
        <v>#VALUE!</v>
      </c>
    </row>
    <row r="101" spans="10:12" x14ac:dyDescent="0.2">
      <c r="J101" t="e">
        <f t="shared" si="5"/>
        <v>#VALUE!</v>
      </c>
      <c r="K101" t="e">
        <f t="shared" si="3"/>
        <v>#VALUE!</v>
      </c>
      <c r="L101" t="e">
        <f t="shared" si="4"/>
        <v>#VALUE!</v>
      </c>
    </row>
    <row r="102" spans="10:12" x14ac:dyDescent="0.2">
      <c r="J102" t="e">
        <f t="shared" si="5"/>
        <v>#VALUE!</v>
      </c>
      <c r="K102" t="e">
        <f t="shared" si="3"/>
        <v>#VALUE!</v>
      </c>
      <c r="L102" t="e">
        <f t="shared" si="4"/>
        <v>#VALUE!</v>
      </c>
    </row>
    <row r="103" spans="10:12" x14ac:dyDescent="0.2">
      <c r="J103" t="e">
        <f t="shared" si="5"/>
        <v>#VALUE!</v>
      </c>
      <c r="K103" t="e">
        <f t="shared" si="3"/>
        <v>#VALUE!</v>
      </c>
      <c r="L103" t="e">
        <f t="shared" si="4"/>
        <v>#VALUE!</v>
      </c>
    </row>
    <row r="104" spans="10:12" x14ac:dyDescent="0.2">
      <c r="J104" t="e">
        <f t="shared" si="5"/>
        <v>#VALUE!</v>
      </c>
      <c r="K104" t="e">
        <f t="shared" si="3"/>
        <v>#VALUE!</v>
      </c>
      <c r="L104" t="e">
        <f t="shared" si="4"/>
        <v>#VALUE!</v>
      </c>
    </row>
    <row r="105" spans="10:12" x14ac:dyDescent="0.2">
      <c r="J105" t="e">
        <f t="shared" si="5"/>
        <v>#VALUE!</v>
      </c>
      <c r="K105" t="e">
        <f t="shared" si="3"/>
        <v>#VALUE!</v>
      </c>
      <c r="L105" t="e">
        <f t="shared" si="4"/>
        <v>#VALUE!</v>
      </c>
    </row>
    <row r="106" spans="10:12" x14ac:dyDescent="0.2">
      <c r="J106" t="e">
        <f t="shared" si="5"/>
        <v>#VALUE!</v>
      </c>
      <c r="K106" t="e">
        <f t="shared" si="3"/>
        <v>#VALUE!</v>
      </c>
      <c r="L106" t="e">
        <f t="shared" si="4"/>
        <v>#VALUE!</v>
      </c>
    </row>
    <row r="107" spans="10:12" x14ac:dyDescent="0.2">
      <c r="J107" t="e">
        <f t="shared" si="5"/>
        <v>#VALUE!</v>
      </c>
      <c r="K107" t="e">
        <f t="shared" si="3"/>
        <v>#VALUE!</v>
      </c>
      <c r="L107" t="e">
        <f t="shared" si="4"/>
        <v>#VALUE!</v>
      </c>
    </row>
    <row r="108" spans="10:12" x14ac:dyDescent="0.2">
      <c r="J108" t="e">
        <f t="shared" si="5"/>
        <v>#VALUE!</v>
      </c>
      <c r="K108" t="e">
        <f t="shared" si="3"/>
        <v>#VALUE!</v>
      </c>
      <c r="L108" t="e">
        <f t="shared" si="4"/>
        <v>#VALUE!</v>
      </c>
    </row>
    <row r="109" spans="10:12" x14ac:dyDescent="0.2">
      <c r="J109" t="e">
        <f t="shared" si="5"/>
        <v>#VALUE!</v>
      </c>
      <c r="K109" t="e">
        <f t="shared" si="3"/>
        <v>#VALUE!</v>
      </c>
      <c r="L109" t="e">
        <f t="shared" si="4"/>
        <v>#VALUE!</v>
      </c>
    </row>
    <row r="110" spans="10:12" x14ac:dyDescent="0.2">
      <c r="J110" t="e">
        <f t="shared" si="5"/>
        <v>#VALUE!</v>
      </c>
      <c r="K110" t="e">
        <f t="shared" si="3"/>
        <v>#VALUE!</v>
      </c>
      <c r="L110" t="e">
        <f t="shared" si="4"/>
        <v>#VALUE!</v>
      </c>
    </row>
    <row r="111" spans="10:12" x14ac:dyDescent="0.2">
      <c r="J111" t="e">
        <f t="shared" si="5"/>
        <v>#VALUE!</v>
      </c>
      <c r="K111" t="e">
        <f t="shared" si="3"/>
        <v>#VALUE!</v>
      </c>
      <c r="L111" t="e">
        <f t="shared" si="4"/>
        <v>#VALUE!</v>
      </c>
    </row>
    <row r="112" spans="10:12" x14ac:dyDescent="0.2">
      <c r="J112" t="e">
        <f t="shared" si="5"/>
        <v>#VALUE!</v>
      </c>
      <c r="K112" t="e">
        <f t="shared" si="3"/>
        <v>#VALUE!</v>
      </c>
      <c r="L112" t="e">
        <f t="shared" si="4"/>
        <v>#VALUE!</v>
      </c>
    </row>
    <row r="113" spans="10:12" x14ac:dyDescent="0.2">
      <c r="J113" t="e">
        <f t="shared" si="5"/>
        <v>#VALUE!</v>
      </c>
      <c r="K113" t="e">
        <f t="shared" si="3"/>
        <v>#VALUE!</v>
      </c>
      <c r="L113" t="e">
        <f t="shared" si="4"/>
        <v>#VALUE!</v>
      </c>
    </row>
    <row r="114" spans="10:12" x14ac:dyDescent="0.2">
      <c r="J114" t="e">
        <f t="shared" si="5"/>
        <v>#VALUE!</v>
      </c>
      <c r="K114" t="e">
        <f t="shared" si="3"/>
        <v>#VALUE!</v>
      </c>
      <c r="L114" t="e">
        <f t="shared" si="4"/>
        <v>#VALUE!</v>
      </c>
    </row>
    <row r="115" spans="10:12" x14ac:dyDescent="0.2">
      <c r="J115" t="e">
        <f t="shared" si="5"/>
        <v>#VALUE!</v>
      </c>
      <c r="K115" t="e">
        <f t="shared" si="3"/>
        <v>#VALUE!</v>
      </c>
      <c r="L115" t="e">
        <f t="shared" si="4"/>
        <v>#VALUE!</v>
      </c>
    </row>
    <row r="116" spans="10:12" x14ac:dyDescent="0.2">
      <c r="J116" t="e">
        <f t="shared" si="5"/>
        <v>#VALUE!</v>
      </c>
      <c r="K116" t="e">
        <f t="shared" si="3"/>
        <v>#VALUE!</v>
      </c>
      <c r="L116" t="e">
        <f t="shared" si="4"/>
        <v>#VALUE!</v>
      </c>
    </row>
    <row r="117" spans="10:12" x14ac:dyDescent="0.2">
      <c r="J117" t="e">
        <f t="shared" si="5"/>
        <v>#VALUE!</v>
      </c>
      <c r="K117" t="e">
        <f t="shared" si="3"/>
        <v>#VALUE!</v>
      </c>
      <c r="L117" t="e">
        <f t="shared" si="4"/>
        <v>#VALUE!</v>
      </c>
    </row>
    <row r="118" spans="10:12" x14ac:dyDescent="0.2">
      <c r="J118" t="e">
        <f t="shared" si="5"/>
        <v>#VALUE!</v>
      </c>
      <c r="K118" t="e">
        <f t="shared" si="3"/>
        <v>#VALUE!</v>
      </c>
      <c r="L118" t="e">
        <f t="shared" si="4"/>
        <v>#VALUE!</v>
      </c>
    </row>
    <row r="119" spans="10:12" x14ac:dyDescent="0.2">
      <c r="J119" t="e">
        <f t="shared" si="5"/>
        <v>#VALUE!</v>
      </c>
      <c r="K119" t="e">
        <f t="shared" si="3"/>
        <v>#VALUE!</v>
      </c>
      <c r="L119" t="e">
        <f t="shared" si="4"/>
        <v>#VALUE!</v>
      </c>
    </row>
    <row r="120" spans="10:12" x14ac:dyDescent="0.2">
      <c r="J120" t="e">
        <f t="shared" si="5"/>
        <v>#VALUE!</v>
      </c>
      <c r="K120" t="e">
        <f t="shared" si="3"/>
        <v>#VALUE!</v>
      </c>
      <c r="L120" t="e">
        <f t="shared" si="4"/>
        <v>#VALUE!</v>
      </c>
    </row>
    <row r="121" spans="10:12" x14ac:dyDescent="0.2">
      <c r="J121" t="e">
        <f t="shared" si="5"/>
        <v>#VALUE!</v>
      </c>
      <c r="K121" t="e">
        <f t="shared" si="3"/>
        <v>#VALUE!</v>
      </c>
      <c r="L121" t="e">
        <f t="shared" si="4"/>
        <v>#VALUE!</v>
      </c>
    </row>
    <row r="122" spans="10:12" x14ac:dyDescent="0.2">
      <c r="J122" t="e">
        <f t="shared" si="5"/>
        <v>#VALUE!</v>
      </c>
      <c r="K122" t="e">
        <f t="shared" si="3"/>
        <v>#VALUE!</v>
      </c>
      <c r="L122" t="e">
        <f t="shared" si="4"/>
        <v>#VALUE!</v>
      </c>
    </row>
    <row r="123" spans="10:12" x14ac:dyDescent="0.2">
      <c r="J123" t="e">
        <f t="shared" si="5"/>
        <v>#VALUE!</v>
      </c>
      <c r="K123" t="e">
        <f t="shared" si="3"/>
        <v>#VALUE!</v>
      </c>
      <c r="L123" t="e">
        <f t="shared" si="4"/>
        <v>#VALUE!</v>
      </c>
    </row>
    <row r="124" spans="10:12" x14ac:dyDescent="0.2">
      <c r="J124" t="e">
        <f t="shared" si="5"/>
        <v>#VALUE!</v>
      </c>
      <c r="K124" t="e">
        <f t="shared" si="3"/>
        <v>#VALUE!</v>
      </c>
      <c r="L124" t="e">
        <f t="shared" si="4"/>
        <v>#VALUE!</v>
      </c>
    </row>
    <row r="125" spans="10:12" x14ac:dyDescent="0.2">
      <c r="J125" t="e">
        <f t="shared" si="5"/>
        <v>#VALUE!</v>
      </c>
      <c r="K125" t="e">
        <f t="shared" si="3"/>
        <v>#VALUE!</v>
      </c>
      <c r="L125" t="e">
        <f t="shared" si="4"/>
        <v>#VALUE!</v>
      </c>
    </row>
    <row r="126" spans="10:12" x14ac:dyDescent="0.2">
      <c r="J126" t="e">
        <f t="shared" si="5"/>
        <v>#VALUE!</v>
      </c>
      <c r="K126" t="e">
        <f t="shared" si="3"/>
        <v>#VALUE!</v>
      </c>
      <c r="L126" t="e">
        <f t="shared" si="4"/>
        <v>#VALUE!</v>
      </c>
    </row>
    <row r="127" spans="10:12" x14ac:dyDescent="0.2">
      <c r="J127" t="e">
        <f t="shared" si="5"/>
        <v>#VALUE!</v>
      </c>
      <c r="K127" t="e">
        <f t="shared" si="3"/>
        <v>#VALUE!</v>
      </c>
      <c r="L127" t="e">
        <f t="shared" si="4"/>
        <v>#VALUE!</v>
      </c>
    </row>
    <row r="128" spans="10:12" x14ac:dyDescent="0.2">
      <c r="J128" t="e">
        <f t="shared" si="5"/>
        <v>#VALUE!</v>
      </c>
      <c r="K128" t="e">
        <f t="shared" si="3"/>
        <v>#VALUE!</v>
      </c>
      <c r="L128" t="e">
        <f t="shared" si="4"/>
        <v>#VALUE!</v>
      </c>
    </row>
    <row r="129" spans="10:12" x14ac:dyDescent="0.2">
      <c r="J129" t="e">
        <f t="shared" si="5"/>
        <v>#VALUE!</v>
      </c>
      <c r="K129" t="e">
        <f t="shared" si="3"/>
        <v>#VALUE!</v>
      </c>
      <c r="L129" t="e">
        <f t="shared" si="4"/>
        <v>#VALUE!</v>
      </c>
    </row>
    <row r="130" spans="10:12" x14ac:dyDescent="0.2">
      <c r="J130" t="e">
        <f t="shared" si="5"/>
        <v>#VALUE!</v>
      </c>
      <c r="K130" t="e">
        <f t="shared" si="3"/>
        <v>#VALUE!</v>
      </c>
      <c r="L130" t="e">
        <f t="shared" si="4"/>
        <v>#VALUE!</v>
      </c>
    </row>
    <row r="131" spans="10:12" x14ac:dyDescent="0.2">
      <c r="J131" t="e">
        <f t="shared" si="5"/>
        <v>#VALUE!</v>
      </c>
      <c r="K131" t="e">
        <f t="shared" si="3"/>
        <v>#VALUE!</v>
      </c>
      <c r="L131" t="e">
        <f t="shared" si="4"/>
        <v>#VALUE!</v>
      </c>
    </row>
    <row r="132" spans="10:12" x14ac:dyDescent="0.2">
      <c r="J132" t="e">
        <f t="shared" si="5"/>
        <v>#VALUE!</v>
      </c>
      <c r="K132" t="e">
        <f t="shared" si="3"/>
        <v>#VALUE!</v>
      </c>
      <c r="L132" t="e">
        <f t="shared" si="4"/>
        <v>#VALUE!</v>
      </c>
    </row>
    <row r="133" spans="10:12" x14ac:dyDescent="0.2">
      <c r="J133" t="e">
        <f t="shared" si="5"/>
        <v>#VALUE!</v>
      </c>
      <c r="K133" t="e">
        <f t="shared" si="3"/>
        <v>#VALUE!</v>
      </c>
      <c r="L133" t="e">
        <f t="shared" si="4"/>
        <v>#VALUE!</v>
      </c>
    </row>
    <row r="134" spans="10:12" x14ac:dyDescent="0.2">
      <c r="J134" t="e">
        <f t="shared" si="5"/>
        <v>#VALUE!</v>
      </c>
      <c r="K134" t="e">
        <f t="shared" ref="K134:K197" si="6">J134*D$9/D$4</f>
        <v>#VALUE!</v>
      </c>
      <c r="L134" t="e">
        <f t="shared" ref="L134:L197" si="7">J134*D$9/D$3</f>
        <v>#VALUE!</v>
      </c>
    </row>
    <row r="135" spans="10:12" x14ac:dyDescent="0.2">
      <c r="J135" t="e">
        <f t="shared" ref="J135:J198" si="8">J134+0.0001</f>
        <v>#VALUE!</v>
      </c>
      <c r="K135" t="e">
        <f t="shared" si="6"/>
        <v>#VALUE!</v>
      </c>
      <c r="L135" t="e">
        <f t="shared" si="7"/>
        <v>#VALUE!</v>
      </c>
    </row>
    <row r="136" spans="10:12" x14ac:dyDescent="0.2">
      <c r="J136" t="e">
        <f t="shared" si="8"/>
        <v>#VALUE!</v>
      </c>
      <c r="K136" t="e">
        <f t="shared" si="6"/>
        <v>#VALUE!</v>
      </c>
      <c r="L136" t="e">
        <f t="shared" si="7"/>
        <v>#VALUE!</v>
      </c>
    </row>
    <row r="137" spans="10:12" x14ac:dyDescent="0.2">
      <c r="J137" t="e">
        <f t="shared" si="8"/>
        <v>#VALUE!</v>
      </c>
      <c r="K137" t="e">
        <f t="shared" si="6"/>
        <v>#VALUE!</v>
      </c>
      <c r="L137" t="e">
        <f t="shared" si="7"/>
        <v>#VALUE!</v>
      </c>
    </row>
    <row r="138" spans="10:12" x14ac:dyDescent="0.2">
      <c r="J138" t="e">
        <f t="shared" si="8"/>
        <v>#VALUE!</v>
      </c>
      <c r="K138" t="e">
        <f t="shared" si="6"/>
        <v>#VALUE!</v>
      </c>
      <c r="L138" t="e">
        <f t="shared" si="7"/>
        <v>#VALUE!</v>
      </c>
    </row>
    <row r="139" spans="10:12" x14ac:dyDescent="0.2">
      <c r="J139" t="e">
        <f t="shared" si="8"/>
        <v>#VALUE!</v>
      </c>
      <c r="K139" t="e">
        <f t="shared" si="6"/>
        <v>#VALUE!</v>
      </c>
      <c r="L139" t="e">
        <f t="shared" si="7"/>
        <v>#VALUE!</v>
      </c>
    </row>
    <row r="140" spans="10:12" x14ac:dyDescent="0.2">
      <c r="J140" t="e">
        <f t="shared" si="8"/>
        <v>#VALUE!</v>
      </c>
      <c r="K140" t="e">
        <f t="shared" si="6"/>
        <v>#VALUE!</v>
      </c>
      <c r="L140" t="e">
        <f t="shared" si="7"/>
        <v>#VALUE!</v>
      </c>
    </row>
    <row r="141" spans="10:12" x14ac:dyDescent="0.2">
      <c r="J141" t="e">
        <f t="shared" si="8"/>
        <v>#VALUE!</v>
      </c>
      <c r="K141" t="e">
        <f t="shared" si="6"/>
        <v>#VALUE!</v>
      </c>
      <c r="L141" t="e">
        <f t="shared" si="7"/>
        <v>#VALUE!</v>
      </c>
    </row>
    <row r="142" spans="10:12" x14ac:dyDescent="0.2">
      <c r="J142" t="e">
        <f t="shared" si="8"/>
        <v>#VALUE!</v>
      </c>
      <c r="K142" t="e">
        <f t="shared" si="6"/>
        <v>#VALUE!</v>
      </c>
      <c r="L142" t="e">
        <f t="shared" si="7"/>
        <v>#VALUE!</v>
      </c>
    </row>
    <row r="143" spans="10:12" x14ac:dyDescent="0.2">
      <c r="J143" t="e">
        <f t="shared" si="8"/>
        <v>#VALUE!</v>
      </c>
      <c r="K143" t="e">
        <f t="shared" si="6"/>
        <v>#VALUE!</v>
      </c>
      <c r="L143" t="e">
        <f t="shared" si="7"/>
        <v>#VALUE!</v>
      </c>
    </row>
    <row r="144" spans="10:12" x14ac:dyDescent="0.2">
      <c r="J144" t="e">
        <f t="shared" si="8"/>
        <v>#VALUE!</v>
      </c>
      <c r="K144" t="e">
        <f t="shared" si="6"/>
        <v>#VALUE!</v>
      </c>
      <c r="L144" t="e">
        <f t="shared" si="7"/>
        <v>#VALUE!</v>
      </c>
    </row>
    <row r="145" spans="10:12" x14ac:dyDescent="0.2">
      <c r="J145" t="e">
        <f t="shared" si="8"/>
        <v>#VALUE!</v>
      </c>
      <c r="K145" t="e">
        <f t="shared" si="6"/>
        <v>#VALUE!</v>
      </c>
      <c r="L145" t="e">
        <f t="shared" si="7"/>
        <v>#VALUE!</v>
      </c>
    </row>
    <row r="146" spans="10:12" x14ac:dyDescent="0.2">
      <c r="J146" t="e">
        <f t="shared" si="8"/>
        <v>#VALUE!</v>
      </c>
      <c r="K146" t="e">
        <f t="shared" si="6"/>
        <v>#VALUE!</v>
      </c>
      <c r="L146" t="e">
        <f t="shared" si="7"/>
        <v>#VALUE!</v>
      </c>
    </row>
    <row r="147" spans="10:12" x14ac:dyDescent="0.2">
      <c r="J147" t="e">
        <f t="shared" si="8"/>
        <v>#VALUE!</v>
      </c>
      <c r="K147" t="e">
        <f t="shared" si="6"/>
        <v>#VALUE!</v>
      </c>
      <c r="L147" t="e">
        <f t="shared" si="7"/>
        <v>#VALUE!</v>
      </c>
    </row>
    <row r="148" spans="10:12" x14ac:dyDescent="0.2">
      <c r="J148" t="e">
        <f t="shared" si="8"/>
        <v>#VALUE!</v>
      </c>
      <c r="K148" t="e">
        <f t="shared" si="6"/>
        <v>#VALUE!</v>
      </c>
      <c r="L148" t="e">
        <f t="shared" si="7"/>
        <v>#VALUE!</v>
      </c>
    </row>
    <row r="149" spans="10:12" x14ac:dyDescent="0.2">
      <c r="J149" t="e">
        <f t="shared" si="8"/>
        <v>#VALUE!</v>
      </c>
      <c r="K149" t="e">
        <f t="shared" si="6"/>
        <v>#VALUE!</v>
      </c>
      <c r="L149" t="e">
        <f t="shared" si="7"/>
        <v>#VALUE!</v>
      </c>
    </row>
    <row r="150" spans="10:12" x14ac:dyDescent="0.2">
      <c r="J150" t="e">
        <f t="shared" si="8"/>
        <v>#VALUE!</v>
      </c>
      <c r="K150" t="e">
        <f t="shared" si="6"/>
        <v>#VALUE!</v>
      </c>
      <c r="L150" t="e">
        <f t="shared" si="7"/>
        <v>#VALUE!</v>
      </c>
    </row>
    <row r="151" spans="10:12" x14ac:dyDescent="0.2">
      <c r="J151" t="e">
        <f t="shared" si="8"/>
        <v>#VALUE!</v>
      </c>
      <c r="K151" t="e">
        <f t="shared" si="6"/>
        <v>#VALUE!</v>
      </c>
      <c r="L151" t="e">
        <f t="shared" si="7"/>
        <v>#VALUE!</v>
      </c>
    </row>
    <row r="152" spans="10:12" x14ac:dyDescent="0.2">
      <c r="J152" t="e">
        <f t="shared" si="8"/>
        <v>#VALUE!</v>
      </c>
      <c r="K152" t="e">
        <f t="shared" si="6"/>
        <v>#VALUE!</v>
      </c>
      <c r="L152" t="e">
        <f t="shared" si="7"/>
        <v>#VALUE!</v>
      </c>
    </row>
    <row r="153" spans="10:12" x14ac:dyDescent="0.2">
      <c r="J153" t="e">
        <f t="shared" si="8"/>
        <v>#VALUE!</v>
      </c>
      <c r="K153" t="e">
        <f t="shared" si="6"/>
        <v>#VALUE!</v>
      </c>
      <c r="L153" t="e">
        <f t="shared" si="7"/>
        <v>#VALUE!</v>
      </c>
    </row>
    <row r="154" spans="10:12" x14ac:dyDescent="0.2">
      <c r="J154" t="e">
        <f t="shared" si="8"/>
        <v>#VALUE!</v>
      </c>
      <c r="K154" t="e">
        <f t="shared" si="6"/>
        <v>#VALUE!</v>
      </c>
      <c r="L154" t="e">
        <f t="shared" si="7"/>
        <v>#VALUE!</v>
      </c>
    </row>
    <row r="155" spans="10:12" x14ac:dyDescent="0.2">
      <c r="J155" t="e">
        <f t="shared" si="8"/>
        <v>#VALUE!</v>
      </c>
      <c r="K155" t="e">
        <f t="shared" si="6"/>
        <v>#VALUE!</v>
      </c>
      <c r="L155" t="e">
        <f t="shared" si="7"/>
        <v>#VALUE!</v>
      </c>
    </row>
    <row r="156" spans="10:12" x14ac:dyDescent="0.2">
      <c r="J156" t="e">
        <f t="shared" si="8"/>
        <v>#VALUE!</v>
      </c>
      <c r="K156" t="e">
        <f t="shared" si="6"/>
        <v>#VALUE!</v>
      </c>
      <c r="L156" t="e">
        <f t="shared" si="7"/>
        <v>#VALUE!</v>
      </c>
    </row>
    <row r="157" spans="10:12" x14ac:dyDescent="0.2">
      <c r="J157" t="e">
        <f t="shared" si="8"/>
        <v>#VALUE!</v>
      </c>
      <c r="K157" t="e">
        <f t="shared" si="6"/>
        <v>#VALUE!</v>
      </c>
      <c r="L157" t="e">
        <f t="shared" si="7"/>
        <v>#VALUE!</v>
      </c>
    </row>
    <row r="158" spans="10:12" x14ac:dyDescent="0.2">
      <c r="J158" t="e">
        <f t="shared" si="8"/>
        <v>#VALUE!</v>
      </c>
      <c r="K158" t="e">
        <f t="shared" si="6"/>
        <v>#VALUE!</v>
      </c>
      <c r="L158" t="e">
        <f t="shared" si="7"/>
        <v>#VALUE!</v>
      </c>
    </row>
    <row r="159" spans="10:12" x14ac:dyDescent="0.2">
      <c r="J159" t="e">
        <f t="shared" si="8"/>
        <v>#VALUE!</v>
      </c>
      <c r="K159" t="e">
        <f t="shared" si="6"/>
        <v>#VALUE!</v>
      </c>
      <c r="L159" t="e">
        <f t="shared" si="7"/>
        <v>#VALUE!</v>
      </c>
    </row>
    <row r="160" spans="10:12" x14ac:dyDescent="0.2">
      <c r="J160" t="e">
        <f t="shared" si="8"/>
        <v>#VALUE!</v>
      </c>
      <c r="K160" t="e">
        <f t="shared" si="6"/>
        <v>#VALUE!</v>
      </c>
      <c r="L160" t="e">
        <f t="shared" si="7"/>
        <v>#VALUE!</v>
      </c>
    </row>
    <row r="161" spans="10:12" x14ac:dyDescent="0.2">
      <c r="J161" t="e">
        <f t="shared" si="8"/>
        <v>#VALUE!</v>
      </c>
      <c r="K161" t="e">
        <f t="shared" si="6"/>
        <v>#VALUE!</v>
      </c>
      <c r="L161" t="e">
        <f t="shared" si="7"/>
        <v>#VALUE!</v>
      </c>
    </row>
    <row r="162" spans="10:12" x14ac:dyDescent="0.2">
      <c r="J162" t="e">
        <f t="shared" si="8"/>
        <v>#VALUE!</v>
      </c>
      <c r="K162" t="e">
        <f t="shared" si="6"/>
        <v>#VALUE!</v>
      </c>
      <c r="L162" t="e">
        <f t="shared" si="7"/>
        <v>#VALUE!</v>
      </c>
    </row>
    <row r="163" spans="10:12" x14ac:dyDescent="0.2">
      <c r="J163" t="e">
        <f t="shared" si="8"/>
        <v>#VALUE!</v>
      </c>
      <c r="K163" t="e">
        <f t="shared" si="6"/>
        <v>#VALUE!</v>
      </c>
      <c r="L163" t="e">
        <f t="shared" si="7"/>
        <v>#VALUE!</v>
      </c>
    </row>
    <row r="164" spans="10:12" x14ac:dyDescent="0.2">
      <c r="J164" t="e">
        <f t="shared" si="8"/>
        <v>#VALUE!</v>
      </c>
      <c r="K164" t="e">
        <f t="shared" si="6"/>
        <v>#VALUE!</v>
      </c>
      <c r="L164" t="e">
        <f t="shared" si="7"/>
        <v>#VALUE!</v>
      </c>
    </row>
    <row r="165" spans="10:12" x14ac:dyDescent="0.2">
      <c r="J165" t="e">
        <f t="shared" si="8"/>
        <v>#VALUE!</v>
      </c>
      <c r="K165" t="e">
        <f t="shared" si="6"/>
        <v>#VALUE!</v>
      </c>
      <c r="L165" t="e">
        <f t="shared" si="7"/>
        <v>#VALUE!</v>
      </c>
    </row>
    <row r="166" spans="10:12" x14ac:dyDescent="0.2">
      <c r="J166" t="e">
        <f t="shared" si="8"/>
        <v>#VALUE!</v>
      </c>
      <c r="K166" t="e">
        <f t="shared" si="6"/>
        <v>#VALUE!</v>
      </c>
      <c r="L166" t="e">
        <f t="shared" si="7"/>
        <v>#VALUE!</v>
      </c>
    </row>
    <row r="167" spans="10:12" x14ac:dyDescent="0.2">
      <c r="J167" t="e">
        <f t="shared" si="8"/>
        <v>#VALUE!</v>
      </c>
      <c r="K167" t="e">
        <f t="shared" si="6"/>
        <v>#VALUE!</v>
      </c>
      <c r="L167" t="e">
        <f t="shared" si="7"/>
        <v>#VALUE!</v>
      </c>
    </row>
    <row r="168" spans="10:12" x14ac:dyDescent="0.2">
      <c r="J168" t="e">
        <f t="shared" si="8"/>
        <v>#VALUE!</v>
      </c>
      <c r="K168" t="e">
        <f t="shared" si="6"/>
        <v>#VALUE!</v>
      </c>
      <c r="L168" t="e">
        <f t="shared" si="7"/>
        <v>#VALUE!</v>
      </c>
    </row>
    <row r="169" spans="10:12" x14ac:dyDescent="0.2">
      <c r="J169" t="e">
        <f t="shared" si="8"/>
        <v>#VALUE!</v>
      </c>
      <c r="K169" t="e">
        <f t="shared" si="6"/>
        <v>#VALUE!</v>
      </c>
      <c r="L169" t="e">
        <f t="shared" si="7"/>
        <v>#VALUE!</v>
      </c>
    </row>
    <row r="170" spans="10:12" x14ac:dyDescent="0.2">
      <c r="J170" t="e">
        <f t="shared" si="8"/>
        <v>#VALUE!</v>
      </c>
      <c r="K170" t="e">
        <f t="shared" si="6"/>
        <v>#VALUE!</v>
      </c>
      <c r="L170" t="e">
        <f t="shared" si="7"/>
        <v>#VALUE!</v>
      </c>
    </row>
    <row r="171" spans="10:12" x14ac:dyDescent="0.2">
      <c r="J171" t="e">
        <f t="shared" si="8"/>
        <v>#VALUE!</v>
      </c>
      <c r="K171" t="e">
        <f t="shared" si="6"/>
        <v>#VALUE!</v>
      </c>
      <c r="L171" t="e">
        <f t="shared" si="7"/>
        <v>#VALUE!</v>
      </c>
    </row>
    <row r="172" spans="10:12" x14ac:dyDescent="0.2">
      <c r="J172" t="e">
        <f t="shared" si="8"/>
        <v>#VALUE!</v>
      </c>
      <c r="K172" t="e">
        <f t="shared" si="6"/>
        <v>#VALUE!</v>
      </c>
      <c r="L172" t="e">
        <f t="shared" si="7"/>
        <v>#VALUE!</v>
      </c>
    </row>
    <row r="173" spans="10:12" x14ac:dyDescent="0.2">
      <c r="J173" t="e">
        <f t="shared" si="8"/>
        <v>#VALUE!</v>
      </c>
      <c r="K173" t="e">
        <f t="shared" si="6"/>
        <v>#VALUE!</v>
      </c>
      <c r="L173" t="e">
        <f t="shared" si="7"/>
        <v>#VALUE!</v>
      </c>
    </row>
    <row r="174" spans="10:12" x14ac:dyDescent="0.2">
      <c r="J174" t="e">
        <f t="shared" si="8"/>
        <v>#VALUE!</v>
      </c>
      <c r="K174" t="e">
        <f t="shared" si="6"/>
        <v>#VALUE!</v>
      </c>
      <c r="L174" t="e">
        <f t="shared" si="7"/>
        <v>#VALUE!</v>
      </c>
    </row>
    <row r="175" spans="10:12" x14ac:dyDescent="0.2">
      <c r="J175" t="e">
        <f t="shared" si="8"/>
        <v>#VALUE!</v>
      </c>
      <c r="K175" t="e">
        <f t="shared" si="6"/>
        <v>#VALUE!</v>
      </c>
      <c r="L175" t="e">
        <f t="shared" si="7"/>
        <v>#VALUE!</v>
      </c>
    </row>
    <row r="176" spans="10:12" x14ac:dyDescent="0.2">
      <c r="J176" t="e">
        <f t="shared" si="8"/>
        <v>#VALUE!</v>
      </c>
      <c r="K176" t="e">
        <f t="shared" si="6"/>
        <v>#VALUE!</v>
      </c>
      <c r="L176" t="e">
        <f t="shared" si="7"/>
        <v>#VALUE!</v>
      </c>
    </row>
    <row r="177" spans="10:12" x14ac:dyDescent="0.2">
      <c r="J177" t="e">
        <f t="shared" si="8"/>
        <v>#VALUE!</v>
      </c>
      <c r="K177" t="e">
        <f t="shared" si="6"/>
        <v>#VALUE!</v>
      </c>
      <c r="L177" t="e">
        <f t="shared" si="7"/>
        <v>#VALUE!</v>
      </c>
    </row>
    <row r="178" spans="10:12" x14ac:dyDescent="0.2">
      <c r="J178" t="e">
        <f t="shared" si="8"/>
        <v>#VALUE!</v>
      </c>
      <c r="K178" t="e">
        <f t="shared" si="6"/>
        <v>#VALUE!</v>
      </c>
      <c r="L178" t="e">
        <f t="shared" si="7"/>
        <v>#VALUE!</v>
      </c>
    </row>
    <row r="179" spans="10:12" x14ac:dyDescent="0.2">
      <c r="J179" t="e">
        <f t="shared" si="8"/>
        <v>#VALUE!</v>
      </c>
      <c r="K179" t="e">
        <f t="shared" si="6"/>
        <v>#VALUE!</v>
      </c>
      <c r="L179" t="e">
        <f t="shared" si="7"/>
        <v>#VALUE!</v>
      </c>
    </row>
    <row r="180" spans="10:12" x14ac:dyDescent="0.2">
      <c r="J180" t="e">
        <f t="shared" si="8"/>
        <v>#VALUE!</v>
      </c>
      <c r="K180" t="e">
        <f t="shared" si="6"/>
        <v>#VALUE!</v>
      </c>
      <c r="L180" t="e">
        <f t="shared" si="7"/>
        <v>#VALUE!</v>
      </c>
    </row>
    <row r="181" spans="10:12" x14ac:dyDescent="0.2">
      <c r="J181" t="e">
        <f t="shared" si="8"/>
        <v>#VALUE!</v>
      </c>
      <c r="K181" t="e">
        <f t="shared" si="6"/>
        <v>#VALUE!</v>
      </c>
      <c r="L181" t="e">
        <f t="shared" si="7"/>
        <v>#VALUE!</v>
      </c>
    </row>
    <row r="182" spans="10:12" x14ac:dyDescent="0.2">
      <c r="J182" t="e">
        <f t="shared" si="8"/>
        <v>#VALUE!</v>
      </c>
      <c r="K182" t="e">
        <f t="shared" si="6"/>
        <v>#VALUE!</v>
      </c>
      <c r="L182" t="e">
        <f t="shared" si="7"/>
        <v>#VALUE!</v>
      </c>
    </row>
    <row r="183" spans="10:12" x14ac:dyDescent="0.2">
      <c r="J183" t="e">
        <f t="shared" si="8"/>
        <v>#VALUE!</v>
      </c>
      <c r="K183" t="e">
        <f t="shared" si="6"/>
        <v>#VALUE!</v>
      </c>
      <c r="L183" t="e">
        <f t="shared" si="7"/>
        <v>#VALUE!</v>
      </c>
    </row>
    <row r="184" spans="10:12" x14ac:dyDescent="0.2">
      <c r="J184" t="e">
        <f t="shared" si="8"/>
        <v>#VALUE!</v>
      </c>
      <c r="K184" t="e">
        <f t="shared" si="6"/>
        <v>#VALUE!</v>
      </c>
      <c r="L184" t="e">
        <f t="shared" si="7"/>
        <v>#VALUE!</v>
      </c>
    </row>
    <row r="185" spans="10:12" x14ac:dyDescent="0.2">
      <c r="J185" t="e">
        <f t="shared" si="8"/>
        <v>#VALUE!</v>
      </c>
      <c r="K185" t="e">
        <f t="shared" si="6"/>
        <v>#VALUE!</v>
      </c>
      <c r="L185" t="e">
        <f t="shared" si="7"/>
        <v>#VALUE!</v>
      </c>
    </row>
    <row r="186" spans="10:12" x14ac:dyDescent="0.2">
      <c r="J186" t="e">
        <f t="shared" si="8"/>
        <v>#VALUE!</v>
      </c>
      <c r="K186" t="e">
        <f t="shared" si="6"/>
        <v>#VALUE!</v>
      </c>
      <c r="L186" t="e">
        <f t="shared" si="7"/>
        <v>#VALUE!</v>
      </c>
    </row>
    <row r="187" spans="10:12" x14ac:dyDescent="0.2">
      <c r="J187" t="e">
        <f t="shared" si="8"/>
        <v>#VALUE!</v>
      </c>
      <c r="K187" t="e">
        <f t="shared" si="6"/>
        <v>#VALUE!</v>
      </c>
      <c r="L187" t="e">
        <f t="shared" si="7"/>
        <v>#VALUE!</v>
      </c>
    </row>
    <row r="188" spans="10:12" x14ac:dyDescent="0.2">
      <c r="J188" t="e">
        <f t="shared" si="8"/>
        <v>#VALUE!</v>
      </c>
      <c r="K188" t="e">
        <f t="shared" si="6"/>
        <v>#VALUE!</v>
      </c>
      <c r="L188" t="e">
        <f t="shared" si="7"/>
        <v>#VALUE!</v>
      </c>
    </row>
    <row r="189" spans="10:12" x14ac:dyDescent="0.2">
      <c r="J189" t="e">
        <f t="shared" si="8"/>
        <v>#VALUE!</v>
      </c>
      <c r="K189" t="e">
        <f t="shared" si="6"/>
        <v>#VALUE!</v>
      </c>
      <c r="L189" t="e">
        <f t="shared" si="7"/>
        <v>#VALUE!</v>
      </c>
    </row>
    <row r="190" spans="10:12" x14ac:dyDescent="0.2">
      <c r="J190" t="e">
        <f t="shared" si="8"/>
        <v>#VALUE!</v>
      </c>
      <c r="K190" t="e">
        <f t="shared" si="6"/>
        <v>#VALUE!</v>
      </c>
      <c r="L190" t="e">
        <f t="shared" si="7"/>
        <v>#VALUE!</v>
      </c>
    </row>
    <row r="191" spans="10:12" x14ac:dyDescent="0.2">
      <c r="J191" t="e">
        <f t="shared" si="8"/>
        <v>#VALUE!</v>
      </c>
      <c r="K191" t="e">
        <f t="shared" si="6"/>
        <v>#VALUE!</v>
      </c>
      <c r="L191" t="e">
        <f t="shared" si="7"/>
        <v>#VALUE!</v>
      </c>
    </row>
    <row r="192" spans="10:12" x14ac:dyDescent="0.2">
      <c r="J192" t="e">
        <f t="shared" si="8"/>
        <v>#VALUE!</v>
      </c>
      <c r="K192" t="e">
        <f t="shared" si="6"/>
        <v>#VALUE!</v>
      </c>
      <c r="L192" t="e">
        <f t="shared" si="7"/>
        <v>#VALUE!</v>
      </c>
    </row>
    <row r="193" spans="10:12" x14ac:dyDescent="0.2">
      <c r="J193" t="e">
        <f t="shared" si="8"/>
        <v>#VALUE!</v>
      </c>
      <c r="K193" t="e">
        <f t="shared" si="6"/>
        <v>#VALUE!</v>
      </c>
      <c r="L193" t="e">
        <f t="shared" si="7"/>
        <v>#VALUE!</v>
      </c>
    </row>
    <row r="194" spans="10:12" x14ac:dyDescent="0.2">
      <c r="J194" t="e">
        <f t="shared" si="8"/>
        <v>#VALUE!</v>
      </c>
      <c r="K194" t="e">
        <f t="shared" si="6"/>
        <v>#VALUE!</v>
      </c>
      <c r="L194" t="e">
        <f t="shared" si="7"/>
        <v>#VALUE!</v>
      </c>
    </row>
    <row r="195" spans="10:12" x14ac:dyDescent="0.2">
      <c r="J195" t="e">
        <f t="shared" si="8"/>
        <v>#VALUE!</v>
      </c>
      <c r="K195" t="e">
        <f t="shared" si="6"/>
        <v>#VALUE!</v>
      </c>
      <c r="L195" t="e">
        <f t="shared" si="7"/>
        <v>#VALUE!</v>
      </c>
    </row>
    <row r="196" spans="10:12" x14ac:dyDescent="0.2">
      <c r="J196" t="e">
        <f t="shared" si="8"/>
        <v>#VALUE!</v>
      </c>
      <c r="K196" t="e">
        <f t="shared" si="6"/>
        <v>#VALUE!</v>
      </c>
      <c r="L196" t="e">
        <f t="shared" si="7"/>
        <v>#VALUE!</v>
      </c>
    </row>
    <row r="197" spans="10:12" x14ac:dyDescent="0.2">
      <c r="J197" t="e">
        <f t="shared" si="8"/>
        <v>#VALUE!</v>
      </c>
      <c r="K197" t="e">
        <f t="shared" si="6"/>
        <v>#VALUE!</v>
      </c>
      <c r="L197" t="e">
        <f t="shared" si="7"/>
        <v>#VALUE!</v>
      </c>
    </row>
    <row r="198" spans="10:12" x14ac:dyDescent="0.2">
      <c r="J198" t="e">
        <f t="shared" si="8"/>
        <v>#VALUE!</v>
      </c>
      <c r="K198" t="e">
        <f t="shared" ref="K198:K249" si="9">J198*D$9/D$4</f>
        <v>#VALUE!</v>
      </c>
      <c r="L198" t="e">
        <f t="shared" ref="L198:L249" si="10">J198*D$9/D$3</f>
        <v>#VALUE!</v>
      </c>
    </row>
    <row r="199" spans="10:12" x14ac:dyDescent="0.2">
      <c r="J199" t="e">
        <f t="shared" ref="J199:J249" si="11">J198+0.0001</f>
        <v>#VALUE!</v>
      </c>
      <c r="K199" t="e">
        <f t="shared" si="9"/>
        <v>#VALUE!</v>
      </c>
      <c r="L199" t="e">
        <f t="shared" si="10"/>
        <v>#VALUE!</v>
      </c>
    </row>
    <row r="200" spans="10:12" x14ac:dyDescent="0.2">
      <c r="J200" t="e">
        <f t="shared" si="11"/>
        <v>#VALUE!</v>
      </c>
      <c r="K200" t="e">
        <f t="shared" si="9"/>
        <v>#VALUE!</v>
      </c>
      <c r="L200" t="e">
        <f t="shared" si="10"/>
        <v>#VALUE!</v>
      </c>
    </row>
    <row r="201" spans="10:12" x14ac:dyDescent="0.2">
      <c r="J201" t="e">
        <f t="shared" si="11"/>
        <v>#VALUE!</v>
      </c>
      <c r="K201" t="e">
        <f t="shared" si="9"/>
        <v>#VALUE!</v>
      </c>
      <c r="L201" t="e">
        <f t="shared" si="10"/>
        <v>#VALUE!</v>
      </c>
    </row>
    <row r="202" spans="10:12" x14ac:dyDescent="0.2">
      <c r="J202" t="e">
        <f t="shared" si="11"/>
        <v>#VALUE!</v>
      </c>
      <c r="K202" t="e">
        <f t="shared" si="9"/>
        <v>#VALUE!</v>
      </c>
      <c r="L202" t="e">
        <f t="shared" si="10"/>
        <v>#VALUE!</v>
      </c>
    </row>
    <row r="203" spans="10:12" x14ac:dyDescent="0.2">
      <c r="J203" t="e">
        <f t="shared" si="11"/>
        <v>#VALUE!</v>
      </c>
      <c r="K203" t="e">
        <f t="shared" si="9"/>
        <v>#VALUE!</v>
      </c>
      <c r="L203" t="e">
        <f t="shared" si="10"/>
        <v>#VALUE!</v>
      </c>
    </row>
    <row r="204" spans="10:12" x14ac:dyDescent="0.2">
      <c r="J204" t="e">
        <f t="shared" si="11"/>
        <v>#VALUE!</v>
      </c>
      <c r="K204" t="e">
        <f t="shared" si="9"/>
        <v>#VALUE!</v>
      </c>
      <c r="L204" t="e">
        <f t="shared" si="10"/>
        <v>#VALUE!</v>
      </c>
    </row>
    <row r="205" spans="10:12" x14ac:dyDescent="0.2">
      <c r="J205" t="e">
        <f t="shared" si="11"/>
        <v>#VALUE!</v>
      </c>
      <c r="K205" t="e">
        <f t="shared" si="9"/>
        <v>#VALUE!</v>
      </c>
      <c r="L205" t="e">
        <f t="shared" si="10"/>
        <v>#VALUE!</v>
      </c>
    </row>
    <row r="206" spans="10:12" x14ac:dyDescent="0.2">
      <c r="J206" t="e">
        <f t="shared" si="11"/>
        <v>#VALUE!</v>
      </c>
      <c r="K206" t="e">
        <f t="shared" si="9"/>
        <v>#VALUE!</v>
      </c>
      <c r="L206" t="e">
        <f t="shared" si="10"/>
        <v>#VALUE!</v>
      </c>
    </row>
    <row r="207" spans="10:12" x14ac:dyDescent="0.2">
      <c r="J207" t="e">
        <f t="shared" si="11"/>
        <v>#VALUE!</v>
      </c>
      <c r="K207" t="e">
        <f t="shared" si="9"/>
        <v>#VALUE!</v>
      </c>
      <c r="L207" t="e">
        <f t="shared" si="10"/>
        <v>#VALUE!</v>
      </c>
    </row>
    <row r="208" spans="10:12" x14ac:dyDescent="0.2">
      <c r="J208" t="e">
        <f t="shared" si="11"/>
        <v>#VALUE!</v>
      </c>
      <c r="K208" t="e">
        <f t="shared" si="9"/>
        <v>#VALUE!</v>
      </c>
      <c r="L208" t="e">
        <f t="shared" si="10"/>
        <v>#VALUE!</v>
      </c>
    </row>
    <row r="209" spans="10:12" x14ac:dyDescent="0.2">
      <c r="J209" t="e">
        <f t="shared" si="11"/>
        <v>#VALUE!</v>
      </c>
      <c r="K209" t="e">
        <f t="shared" si="9"/>
        <v>#VALUE!</v>
      </c>
      <c r="L209" t="e">
        <f t="shared" si="10"/>
        <v>#VALUE!</v>
      </c>
    </row>
    <row r="210" spans="10:12" x14ac:dyDescent="0.2">
      <c r="J210" t="e">
        <f t="shared" si="11"/>
        <v>#VALUE!</v>
      </c>
      <c r="K210" t="e">
        <f t="shared" si="9"/>
        <v>#VALUE!</v>
      </c>
      <c r="L210" t="e">
        <f t="shared" si="10"/>
        <v>#VALUE!</v>
      </c>
    </row>
    <row r="211" spans="10:12" x14ac:dyDescent="0.2">
      <c r="J211" t="e">
        <f t="shared" si="11"/>
        <v>#VALUE!</v>
      </c>
      <c r="K211" t="e">
        <f t="shared" si="9"/>
        <v>#VALUE!</v>
      </c>
      <c r="L211" t="e">
        <f t="shared" si="10"/>
        <v>#VALUE!</v>
      </c>
    </row>
    <row r="212" spans="10:12" x14ac:dyDescent="0.2">
      <c r="J212" t="e">
        <f t="shared" si="11"/>
        <v>#VALUE!</v>
      </c>
      <c r="K212" t="e">
        <f t="shared" si="9"/>
        <v>#VALUE!</v>
      </c>
      <c r="L212" t="e">
        <f t="shared" si="10"/>
        <v>#VALUE!</v>
      </c>
    </row>
    <row r="213" spans="10:12" x14ac:dyDescent="0.2">
      <c r="J213" t="e">
        <f t="shared" si="11"/>
        <v>#VALUE!</v>
      </c>
      <c r="K213" t="e">
        <f t="shared" si="9"/>
        <v>#VALUE!</v>
      </c>
      <c r="L213" t="e">
        <f t="shared" si="10"/>
        <v>#VALUE!</v>
      </c>
    </row>
    <row r="214" spans="10:12" x14ac:dyDescent="0.2">
      <c r="J214" t="e">
        <f t="shared" si="11"/>
        <v>#VALUE!</v>
      </c>
      <c r="K214" t="e">
        <f t="shared" si="9"/>
        <v>#VALUE!</v>
      </c>
      <c r="L214" t="e">
        <f t="shared" si="10"/>
        <v>#VALUE!</v>
      </c>
    </row>
    <row r="215" spans="10:12" x14ac:dyDescent="0.2">
      <c r="J215" t="e">
        <f t="shared" si="11"/>
        <v>#VALUE!</v>
      </c>
      <c r="K215" t="e">
        <f t="shared" si="9"/>
        <v>#VALUE!</v>
      </c>
      <c r="L215" t="e">
        <f t="shared" si="10"/>
        <v>#VALUE!</v>
      </c>
    </row>
    <row r="216" spans="10:12" x14ac:dyDescent="0.2">
      <c r="J216" t="e">
        <f t="shared" si="11"/>
        <v>#VALUE!</v>
      </c>
      <c r="K216" t="e">
        <f t="shared" si="9"/>
        <v>#VALUE!</v>
      </c>
      <c r="L216" t="e">
        <f t="shared" si="10"/>
        <v>#VALUE!</v>
      </c>
    </row>
    <row r="217" spans="10:12" x14ac:dyDescent="0.2">
      <c r="J217" t="e">
        <f t="shared" si="11"/>
        <v>#VALUE!</v>
      </c>
      <c r="K217" t="e">
        <f t="shared" si="9"/>
        <v>#VALUE!</v>
      </c>
      <c r="L217" t="e">
        <f t="shared" si="10"/>
        <v>#VALUE!</v>
      </c>
    </row>
    <row r="218" spans="10:12" x14ac:dyDescent="0.2">
      <c r="J218" t="e">
        <f t="shared" si="11"/>
        <v>#VALUE!</v>
      </c>
      <c r="K218" t="e">
        <f t="shared" si="9"/>
        <v>#VALUE!</v>
      </c>
      <c r="L218" t="e">
        <f t="shared" si="10"/>
        <v>#VALUE!</v>
      </c>
    </row>
    <row r="219" spans="10:12" x14ac:dyDescent="0.2">
      <c r="J219" t="e">
        <f t="shared" si="11"/>
        <v>#VALUE!</v>
      </c>
      <c r="K219" t="e">
        <f t="shared" si="9"/>
        <v>#VALUE!</v>
      </c>
      <c r="L219" t="e">
        <f t="shared" si="10"/>
        <v>#VALUE!</v>
      </c>
    </row>
    <row r="220" spans="10:12" x14ac:dyDescent="0.2">
      <c r="J220" t="e">
        <f t="shared" si="11"/>
        <v>#VALUE!</v>
      </c>
      <c r="K220" t="e">
        <f t="shared" si="9"/>
        <v>#VALUE!</v>
      </c>
      <c r="L220" t="e">
        <f t="shared" si="10"/>
        <v>#VALUE!</v>
      </c>
    </row>
    <row r="221" spans="10:12" x14ac:dyDescent="0.2">
      <c r="J221" t="e">
        <f t="shared" si="11"/>
        <v>#VALUE!</v>
      </c>
      <c r="K221" t="e">
        <f t="shared" si="9"/>
        <v>#VALUE!</v>
      </c>
      <c r="L221" t="e">
        <f t="shared" si="10"/>
        <v>#VALUE!</v>
      </c>
    </row>
    <row r="222" spans="10:12" x14ac:dyDescent="0.2">
      <c r="J222" t="e">
        <f t="shared" si="11"/>
        <v>#VALUE!</v>
      </c>
      <c r="K222" t="e">
        <f t="shared" si="9"/>
        <v>#VALUE!</v>
      </c>
      <c r="L222" t="e">
        <f t="shared" si="10"/>
        <v>#VALUE!</v>
      </c>
    </row>
    <row r="223" spans="10:12" x14ac:dyDescent="0.2">
      <c r="J223" t="e">
        <f t="shared" si="11"/>
        <v>#VALUE!</v>
      </c>
      <c r="K223" t="e">
        <f t="shared" si="9"/>
        <v>#VALUE!</v>
      </c>
      <c r="L223" t="e">
        <f t="shared" si="10"/>
        <v>#VALUE!</v>
      </c>
    </row>
    <row r="224" spans="10:12" x14ac:dyDescent="0.2">
      <c r="J224" t="e">
        <f t="shared" si="11"/>
        <v>#VALUE!</v>
      </c>
      <c r="K224" t="e">
        <f t="shared" si="9"/>
        <v>#VALUE!</v>
      </c>
      <c r="L224" t="e">
        <f t="shared" si="10"/>
        <v>#VALUE!</v>
      </c>
    </row>
    <row r="225" spans="10:12" x14ac:dyDescent="0.2">
      <c r="J225" t="e">
        <f t="shared" si="11"/>
        <v>#VALUE!</v>
      </c>
      <c r="K225" t="e">
        <f t="shared" si="9"/>
        <v>#VALUE!</v>
      </c>
      <c r="L225" t="e">
        <f t="shared" si="10"/>
        <v>#VALUE!</v>
      </c>
    </row>
    <row r="226" spans="10:12" x14ac:dyDescent="0.2">
      <c r="J226" t="e">
        <f t="shared" si="11"/>
        <v>#VALUE!</v>
      </c>
      <c r="K226" t="e">
        <f t="shared" si="9"/>
        <v>#VALUE!</v>
      </c>
      <c r="L226" t="e">
        <f t="shared" si="10"/>
        <v>#VALUE!</v>
      </c>
    </row>
    <row r="227" spans="10:12" x14ac:dyDescent="0.2">
      <c r="J227" t="e">
        <f t="shared" si="11"/>
        <v>#VALUE!</v>
      </c>
      <c r="K227" t="e">
        <f t="shared" si="9"/>
        <v>#VALUE!</v>
      </c>
      <c r="L227" t="e">
        <f t="shared" si="10"/>
        <v>#VALUE!</v>
      </c>
    </row>
    <row r="228" spans="10:12" x14ac:dyDescent="0.2">
      <c r="J228" t="e">
        <f t="shared" si="11"/>
        <v>#VALUE!</v>
      </c>
      <c r="K228" t="e">
        <f t="shared" si="9"/>
        <v>#VALUE!</v>
      </c>
      <c r="L228" t="e">
        <f t="shared" si="10"/>
        <v>#VALUE!</v>
      </c>
    </row>
    <row r="229" spans="10:12" x14ac:dyDescent="0.2">
      <c r="J229" t="e">
        <f t="shared" si="11"/>
        <v>#VALUE!</v>
      </c>
      <c r="K229" t="e">
        <f t="shared" si="9"/>
        <v>#VALUE!</v>
      </c>
      <c r="L229" t="e">
        <f t="shared" si="10"/>
        <v>#VALUE!</v>
      </c>
    </row>
    <row r="230" spans="10:12" x14ac:dyDescent="0.2">
      <c r="J230" t="e">
        <f t="shared" si="11"/>
        <v>#VALUE!</v>
      </c>
      <c r="K230" t="e">
        <f t="shared" si="9"/>
        <v>#VALUE!</v>
      </c>
      <c r="L230" t="e">
        <f t="shared" si="10"/>
        <v>#VALUE!</v>
      </c>
    </row>
    <row r="231" spans="10:12" x14ac:dyDescent="0.2">
      <c r="J231" t="e">
        <f t="shared" si="11"/>
        <v>#VALUE!</v>
      </c>
      <c r="K231" t="e">
        <f t="shared" si="9"/>
        <v>#VALUE!</v>
      </c>
      <c r="L231" t="e">
        <f t="shared" si="10"/>
        <v>#VALUE!</v>
      </c>
    </row>
    <row r="232" spans="10:12" x14ac:dyDescent="0.2">
      <c r="J232" t="e">
        <f t="shared" si="11"/>
        <v>#VALUE!</v>
      </c>
      <c r="K232" t="e">
        <f t="shared" si="9"/>
        <v>#VALUE!</v>
      </c>
      <c r="L232" t="e">
        <f t="shared" si="10"/>
        <v>#VALUE!</v>
      </c>
    </row>
    <row r="233" spans="10:12" x14ac:dyDescent="0.2">
      <c r="J233" t="e">
        <f t="shared" si="11"/>
        <v>#VALUE!</v>
      </c>
      <c r="K233" t="e">
        <f t="shared" si="9"/>
        <v>#VALUE!</v>
      </c>
      <c r="L233" t="e">
        <f t="shared" si="10"/>
        <v>#VALUE!</v>
      </c>
    </row>
    <row r="234" spans="10:12" x14ac:dyDescent="0.2">
      <c r="J234" t="e">
        <f t="shared" si="11"/>
        <v>#VALUE!</v>
      </c>
      <c r="K234" t="e">
        <f t="shared" si="9"/>
        <v>#VALUE!</v>
      </c>
      <c r="L234" t="e">
        <f t="shared" si="10"/>
        <v>#VALUE!</v>
      </c>
    </row>
    <row r="235" spans="10:12" x14ac:dyDescent="0.2">
      <c r="J235" t="e">
        <f t="shared" si="11"/>
        <v>#VALUE!</v>
      </c>
      <c r="K235" t="e">
        <f t="shared" si="9"/>
        <v>#VALUE!</v>
      </c>
      <c r="L235" t="e">
        <f t="shared" si="10"/>
        <v>#VALUE!</v>
      </c>
    </row>
    <row r="236" spans="10:12" x14ac:dyDescent="0.2">
      <c r="J236" t="e">
        <f t="shared" si="11"/>
        <v>#VALUE!</v>
      </c>
      <c r="K236" t="e">
        <f t="shared" si="9"/>
        <v>#VALUE!</v>
      </c>
      <c r="L236" t="e">
        <f t="shared" si="10"/>
        <v>#VALUE!</v>
      </c>
    </row>
    <row r="237" spans="10:12" x14ac:dyDescent="0.2">
      <c r="J237" t="e">
        <f t="shared" si="11"/>
        <v>#VALUE!</v>
      </c>
      <c r="K237" t="e">
        <f t="shared" si="9"/>
        <v>#VALUE!</v>
      </c>
      <c r="L237" t="e">
        <f t="shared" si="10"/>
        <v>#VALUE!</v>
      </c>
    </row>
    <row r="238" spans="10:12" x14ac:dyDescent="0.2">
      <c r="J238" t="e">
        <f t="shared" si="11"/>
        <v>#VALUE!</v>
      </c>
      <c r="K238" t="e">
        <f t="shared" si="9"/>
        <v>#VALUE!</v>
      </c>
      <c r="L238" t="e">
        <f t="shared" si="10"/>
        <v>#VALUE!</v>
      </c>
    </row>
    <row r="239" spans="10:12" x14ac:dyDescent="0.2">
      <c r="J239" t="e">
        <f t="shared" si="11"/>
        <v>#VALUE!</v>
      </c>
      <c r="K239" t="e">
        <f t="shared" si="9"/>
        <v>#VALUE!</v>
      </c>
      <c r="L239" t="e">
        <f t="shared" si="10"/>
        <v>#VALUE!</v>
      </c>
    </row>
    <row r="240" spans="10:12" x14ac:dyDescent="0.2">
      <c r="J240" t="e">
        <f t="shared" si="11"/>
        <v>#VALUE!</v>
      </c>
      <c r="K240" t="e">
        <f t="shared" si="9"/>
        <v>#VALUE!</v>
      </c>
      <c r="L240" t="e">
        <f t="shared" si="10"/>
        <v>#VALUE!</v>
      </c>
    </row>
    <row r="241" spans="10:12" x14ac:dyDescent="0.2">
      <c r="J241" t="e">
        <f t="shared" si="11"/>
        <v>#VALUE!</v>
      </c>
      <c r="K241" t="e">
        <f t="shared" si="9"/>
        <v>#VALUE!</v>
      </c>
      <c r="L241" t="e">
        <f t="shared" si="10"/>
        <v>#VALUE!</v>
      </c>
    </row>
    <row r="242" spans="10:12" x14ac:dyDescent="0.2">
      <c r="J242" t="e">
        <f t="shared" si="11"/>
        <v>#VALUE!</v>
      </c>
      <c r="K242" t="e">
        <f t="shared" si="9"/>
        <v>#VALUE!</v>
      </c>
      <c r="L242" t="e">
        <f t="shared" si="10"/>
        <v>#VALUE!</v>
      </c>
    </row>
    <row r="243" spans="10:12" x14ac:dyDescent="0.2">
      <c r="J243" t="e">
        <f t="shared" si="11"/>
        <v>#VALUE!</v>
      </c>
      <c r="K243" t="e">
        <f t="shared" si="9"/>
        <v>#VALUE!</v>
      </c>
      <c r="L243" t="e">
        <f t="shared" si="10"/>
        <v>#VALUE!</v>
      </c>
    </row>
    <row r="244" spans="10:12" x14ac:dyDescent="0.2">
      <c r="J244" t="e">
        <f t="shared" si="11"/>
        <v>#VALUE!</v>
      </c>
      <c r="K244" t="e">
        <f t="shared" si="9"/>
        <v>#VALUE!</v>
      </c>
      <c r="L244" t="e">
        <f t="shared" si="10"/>
        <v>#VALUE!</v>
      </c>
    </row>
    <row r="245" spans="10:12" x14ac:dyDescent="0.2">
      <c r="J245" t="e">
        <f t="shared" si="11"/>
        <v>#VALUE!</v>
      </c>
      <c r="K245" t="e">
        <f t="shared" si="9"/>
        <v>#VALUE!</v>
      </c>
      <c r="L245" t="e">
        <f t="shared" si="10"/>
        <v>#VALUE!</v>
      </c>
    </row>
    <row r="246" spans="10:12" x14ac:dyDescent="0.2">
      <c r="J246" t="e">
        <f t="shared" si="11"/>
        <v>#VALUE!</v>
      </c>
      <c r="K246" t="e">
        <f t="shared" si="9"/>
        <v>#VALUE!</v>
      </c>
      <c r="L246" t="e">
        <f t="shared" si="10"/>
        <v>#VALUE!</v>
      </c>
    </row>
    <row r="247" spans="10:12" x14ac:dyDescent="0.2">
      <c r="J247" t="e">
        <f t="shared" si="11"/>
        <v>#VALUE!</v>
      </c>
      <c r="K247" t="e">
        <f t="shared" si="9"/>
        <v>#VALUE!</v>
      </c>
      <c r="L247" t="e">
        <f t="shared" si="10"/>
        <v>#VALUE!</v>
      </c>
    </row>
    <row r="248" spans="10:12" x14ac:dyDescent="0.2">
      <c r="J248" t="e">
        <f t="shared" si="11"/>
        <v>#VALUE!</v>
      </c>
      <c r="K248" t="e">
        <f t="shared" si="9"/>
        <v>#VALUE!</v>
      </c>
      <c r="L248" t="e">
        <f t="shared" si="10"/>
        <v>#VALUE!</v>
      </c>
    </row>
    <row r="249" spans="10:12" x14ac:dyDescent="0.2">
      <c r="J249" t="e">
        <f t="shared" si="11"/>
        <v>#VALUE!</v>
      </c>
      <c r="K249" t="e">
        <f t="shared" si="9"/>
        <v>#VALUE!</v>
      </c>
      <c r="L249" t="e">
        <f t="shared" si="10"/>
        <v>#VALUE!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B2C3-59BC-7842-9246-C86FBB1B215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target_concentrations</vt:lpstr>
      <vt:lpstr>Sheet1</vt:lpstr>
      <vt:lpstr>Sheet2</vt:lpstr>
      <vt:lpstr>Sheet3</vt:lpstr>
      <vt:lpstr>Sheet3 (2)</vt:lpstr>
      <vt:lpstr>succinate</vt:lpstr>
      <vt:lpstr>methanol</vt:lpstr>
      <vt:lpstr>PQQ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2026-01-27T20:05:56Z</dcterms:created>
  <dcterms:modified xsi:type="dcterms:W3CDTF">2026-01-27T23:50:37Z</dcterms:modified>
</cp:coreProperties>
</file>